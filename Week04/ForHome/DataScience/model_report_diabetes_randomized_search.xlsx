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ML\Week04\ForHome\DataScience\"/>
    </mc:Choice>
  </mc:AlternateContent>
  <bookViews>
    <workbookView xWindow="0" yWindow="0" windowWidth="22260" windowHeight="12648"/>
  </bookViews>
  <sheets>
    <sheet name="Sheet1" sheetId="1" r:id="rId1"/>
    <sheet name="LogisticRegression" sheetId="2" r:id="rId2"/>
    <sheet name="KNeighborsClassifier" sheetId="3" r:id="rId3"/>
    <sheet name="RidgeClassifier" sheetId="4" r:id="rId4"/>
  </sheets>
  <calcPr calcId="162913"/>
</workbook>
</file>

<file path=xl/calcChain.xml><?xml version="1.0" encoding="utf-8"?>
<calcChain xmlns="http://schemas.openxmlformats.org/spreadsheetml/2006/main">
  <c r="J49" i="1" l="1"/>
  <c r="J37" i="1"/>
  <c r="J38" i="1"/>
  <c r="J39" i="1"/>
  <c r="J40" i="1"/>
  <c r="J41" i="1"/>
  <c r="J42" i="1"/>
  <c r="J43" i="1"/>
  <c r="J44" i="1"/>
  <c r="J45" i="1"/>
  <c r="J46" i="1"/>
  <c r="J47" i="1"/>
  <c r="J48" i="1"/>
  <c r="J36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4" i="1"/>
  <c r="H49" i="1"/>
  <c r="H37" i="1"/>
  <c r="H38" i="1"/>
  <c r="H39" i="1"/>
  <c r="H40" i="1"/>
  <c r="H41" i="1"/>
  <c r="H42" i="1"/>
  <c r="H43" i="1"/>
  <c r="H44" i="1"/>
  <c r="H45" i="1"/>
  <c r="H46" i="1"/>
  <c r="H47" i="1"/>
  <c r="H48" i="1"/>
  <c r="H36" i="1"/>
  <c r="H33" i="1"/>
  <c r="H21" i="1"/>
  <c r="H22" i="1"/>
  <c r="H23" i="1"/>
  <c r="H24" i="1"/>
  <c r="H25" i="1"/>
  <c r="H26" i="1"/>
  <c r="H27" i="1"/>
  <c r="H28" i="1"/>
  <c r="H29" i="1"/>
  <c r="H30" i="1"/>
  <c r="H31" i="1"/>
  <c r="H32" i="1"/>
  <c r="H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4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36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0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</calcChain>
</file>

<file path=xl/sharedStrings.xml><?xml version="1.0" encoding="utf-8"?>
<sst xmlns="http://schemas.openxmlformats.org/spreadsheetml/2006/main" count="213" uniqueCount="46">
  <si>
    <t>features</t>
  </si>
  <si>
    <t>tol</t>
  </si>
  <si>
    <t>fit_intercept</t>
  </si>
  <si>
    <t>accuracy</t>
  </si>
  <si>
    <t>f1</t>
  </si>
  <si>
    <t>roc_auc</t>
  </si>
  <si>
    <t>['glucose', 'pregnancies']</t>
  </si>
  <si>
    <t>['glucose']</t>
  </si>
  <si>
    <t>['glucose', 'diastolic']</t>
  </si>
  <si>
    <t>['glucose', 'triceps']</t>
  </si>
  <si>
    <t>['glucose', 'insulin']</t>
  </si>
  <si>
    <t>['bmi', 'dpf']</t>
  </si>
  <si>
    <t>['glucose', 'age']</t>
  </si>
  <si>
    <t>['glucose', 'pregnancies', 'diastolic']</t>
  </si>
  <si>
    <t>['glucose', 'pregnancies', 'triceps']</t>
  </si>
  <si>
    <t>['glucose', 'pregnancies', 'insulin']</t>
  </si>
  <si>
    <t>['glucose', 'insulin', 'diastolic']</t>
  </si>
  <si>
    <t>['glucose', 'bmi', 'diastolic']</t>
  </si>
  <si>
    <t>['glucose', 'pregnancies', 'diastolic', 'insulin']</t>
  </si>
  <si>
    <t>['glucose', 'pregnancies', 'diastolic', 'insulin', 'age']</t>
  </si>
  <si>
    <t>n_neighbors</t>
  </si>
  <si>
    <t>metric</t>
  </si>
  <si>
    <t>minkowski</t>
  </si>
  <si>
    <t>manhattan</t>
  </si>
  <si>
    <t>max_iter</t>
  </si>
  <si>
    <t>alpha</t>
  </si>
  <si>
    <t>Logistic regression</t>
  </si>
  <si>
    <t>K - nearest neighbors</t>
  </si>
  <si>
    <t>Ridge classifier</t>
  </si>
  <si>
    <t>Baseline model</t>
  </si>
  <si>
    <t>Confusion matrix</t>
  </si>
  <si>
    <t>Comments</t>
  </si>
  <si>
    <t>% increase</t>
  </si>
  <si>
    <t>exp</t>
  </si>
  <si>
    <t>f1:</t>
  </si>
  <si>
    <t>roc_auc:</t>
  </si>
  <si>
    <t>good</t>
  </si>
  <si>
    <t>good, higher accuracy</t>
  </si>
  <si>
    <t>good, high f1 and accuracy</t>
  </si>
  <si>
    <t>good, high accuracy</t>
  </si>
  <si>
    <t>good, f1 is lower than expected</t>
  </si>
  <si>
    <t>bad, below baseline accuracy</t>
  </si>
  <si>
    <t>very good, high f1 and accurcy</t>
  </si>
  <si>
    <t>not bad, accuracy is a lottle lower than expected</t>
  </si>
  <si>
    <t>bad, low accuracy and f1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</si>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</sst>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/>
    <xf numFmtId="0" fontId="0" fillId="0" borderId="3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10960</xdr:colOff>
      <xdr:row>3</xdr:row>
      <xdr:rowOff>55084</xdr:rowOff>
    </xdr:from>
    <xdr:to>
      <xdr:col>10</xdr:col>
      <xdr:colOff>1462181</xdr:colOff>
      <xdr:row>3</xdr:row>
      <xdr:rowOff>1129229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3201" y="3552939"/>
          <a:ext cx="1451221" cy="1074145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4</xdr:row>
      <xdr:rowOff>40640</xdr:rowOff>
    </xdr:from>
    <xdr:to>
      <xdr:col>10</xdr:col>
      <xdr:colOff>1473200</xdr:colOff>
      <xdr:row>4</xdr:row>
      <xdr:rowOff>1122680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440" y="4714240"/>
          <a:ext cx="1442720" cy="1082040"/>
        </a:xfrm>
        <a:prstGeom prst="rect">
          <a:avLst/>
        </a:prstGeom>
      </xdr:spPr>
    </xdr:pic>
    <xdr:clientData/>
  </xdr:twoCellAnchor>
  <xdr:twoCellAnchor editAs="oneCell">
    <xdr:from>
      <xdr:col>10</xdr:col>
      <xdr:colOff>81281</xdr:colOff>
      <xdr:row>5</xdr:row>
      <xdr:rowOff>45728</xdr:rowOff>
    </xdr:from>
    <xdr:to>
      <xdr:col>10</xdr:col>
      <xdr:colOff>1432561</xdr:colOff>
      <xdr:row>5</xdr:row>
      <xdr:rowOff>1107439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2241" y="5887728"/>
          <a:ext cx="1351280" cy="1061711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</xdr:colOff>
      <xdr:row>6</xdr:row>
      <xdr:rowOff>40640</xdr:rowOff>
    </xdr:from>
    <xdr:to>
      <xdr:col>10</xdr:col>
      <xdr:colOff>1452880</xdr:colOff>
      <xdr:row>6</xdr:row>
      <xdr:rowOff>1099820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00" y="7051040"/>
          <a:ext cx="1412240" cy="1059180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</xdr:colOff>
      <xdr:row>7</xdr:row>
      <xdr:rowOff>27948</xdr:rowOff>
    </xdr:from>
    <xdr:to>
      <xdr:col>11</xdr:col>
      <xdr:colOff>931</xdr:colOff>
      <xdr:row>7</xdr:row>
      <xdr:rowOff>1117599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00" y="8206748"/>
          <a:ext cx="1452868" cy="1089651"/>
        </a:xfrm>
        <a:prstGeom prst="rect">
          <a:avLst/>
        </a:prstGeom>
      </xdr:spPr>
    </xdr:pic>
    <xdr:clientData/>
  </xdr:twoCellAnchor>
  <xdr:twoCellAnchor editAs="oneCell">
    <xdr:from>
      <xdr:col>10</xdr:col>
      <xdr:colOff>50800</xdr:colOff>
      <xdr:row>8</xdr:row>
      <xdr:rowOff>50800</xdr:rowOff>
    </xdr:from>
    <xdr:to>
      <xdr:col>10</xdr:col>
      <xdr:colOff>1442720</xdr:colOff>
      <xdr:row>8</xdr:row>
      <xdr:rowOff>1094740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1760" y="9398000"/>
          <a:ext cx="1391920" cy="1043940"/>
        </a:xfrm>
        <a:prstGeom prst="rect">
          <a:avLst/>
        </a:prstGeom>
      </xdr:spPr>
    </xdr:pic>
    <xdr:clientData/>
  </xdr:twoCellAnchor>
  <xdr:twoCellAnchor editAs="oneCell">
    <xdr:from>
      <xdr:col>10</xdr:col>
      <xdr:colOff>71120</xdr:colOff>
      <xdr:row>9</xdr:row>
      <xdr:rowOff>38109</xdr:rowOff>
    </xdr:from>
    <xdr:to>
      <xdr:col>10</xdr:col>
      <xdr:colOff>1442720</xdr:colOff>
      <xdr:row>9</xdr:row>
      <xdr:rowOff>1066809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2080" y="10553709"/>
          <a:ext cx="1371600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50800</xdr:colOff>
      <xdr:row>10</xdr:row>
      <xdr:rowOff>50809</xdr:rowOff>
    </xdr:from>
    <xdr:to>
      <xdr:col>10</xdr:col>
      <xdr:colOff>1452880</xdr:colOff>
      <xdr:row>10</xdr:row>
      <xdr:rowOff>1102369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1760" y="11734809"/>
          <a:ext cx="1402080" cy="105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11</xdr:row>
      <xdr:rowOff>10160</xdr:rowOff>
    </xdr:from>
    <xdr:to>
      <xdr:col>10</xdr:col>
      <xdr:colOff>1469825</xdr:colOff>
      <xdr:row>11</xdr:row>
      <xdr:rowOff>1097289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1280" y="12862560"/>
          <a:ext cx="1449505" cy="1087129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20321</xdr:colOff>
      <xdr:row>12</xdr:row>
      <xdr:rowOff>53349</xdr:rowOff>
    </xdr:from>
    <xdr:to>
      <xdr:col>11</xdr:col>
      <xdr:colOff>1</xdr:colOff>
      <xdr:row>12</xdr:row>
      <xdr:rowOff>1158249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1281" y="14074149"/>
          <a:ext cx="1473200" cy="1104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13</xdr:row>
      <xdr:rowOff>30489</xdr:rowOff>
    </xdr:from>
    <xdr:to>
      <xdr:col>10</xdr:col>
      <xdr:colOff>1473200</xdr:colOff>
      <xdr:row>13</xdr:row>
      <xdr:rowOff>1127769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1120" y="15219689"/>
          <a:ext cx="1463040" cy="109728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14</xdr:row>
      <xdr:rowOff>30489</xdr:rowOff>
    </xdr:from>
    <xdr:to>
      <xdr:col>10</xdr:col>
      <xdr:colOff>1483360</xdr:colOff>
      <xdr:row>14</xdr:row>
      <xdr:rowOff>1097289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1920" y="16388089"/>
          <a:ext cx="1422400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15</xdr:row>
      <xdr:rowOff>20320</xdr:rowOff>
    </xdr:from>
    <xdr:to>
      <xdr:col>10</xdr:col>
      <xdr:colOff>1479985</xdr:colOff>
      <xdr:row>15</xdr:row>
      <xdr:rowOff>1107449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440" y="17546320"/>
          <a:ext cx="1449505" cy="1087129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16</xdr:row>
      <xdr:rowOff>30480</xdr:rowOff>
    </xdr:from>
    <xdr:to>
      <xdr:col>10</xdr:col>
      <xdr:colOff>1452892</xdr:colOff>
      <xdr:row>16</xdr:row>
      <xdr:rowOff>1097289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1440" y="18724880"/>
          <a:ext cx="1422412" cy="1066809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19</xdr:row>
      <xdr:rowOff>48269</xdr:rowOff>
    </xdr:from>
    <xdr:to>
      <xdr:col>10</xdr:col>
      <xdr:colOff>1473200</xdr:colOff>
      <xdr:row>19</xdr:row>
      <xdr:rowOff>1137929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2224786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20</xdr:row>
      <xdr:rowOff>48269</xdr:rowOff>
    </xdr:from>
    <xdr:to>
      <xdr:col>10</xdr:col>
      <xdr:colOff>1432560</xdr:colOff>
      <xdr:row>20</xdr:row>
      <xdr:rowOff>1107449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23416269"/>
          <a:ext cx="1412240" cy="105918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21</xdr:row>
      <xdr:rowOff>38109</xdr:rowOff>
    </xdr:from>
    <xdr:to>
      <xdr:col>10</xdr:col>
      <xdr:colOff>1483360</xdr:colOff>
      <xdr:row>21</xdr:row>
      <xdr:rowOff>1127769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2457450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22</xdr:row>
      <xdr:rowOff>45729</xdr:rowOff>
    </xdr:from>
    <xdr:to>
      <xdr:col>11</xdr:col>
      <xdr:colOff>0</xdr:colOff>
      <xdr:row>22</xdr:row>
      <xdr:rowOff>1158249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25750529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</xdr:colOff>
      <xdr:row>23</xdr:row>
      <xdr:rowOff>17789</xdr:rowOff>
    </xdr:from>
    <xdr:to>
      <xdr:col>11</xdr:col>
      <xdr:colOff>0</xdr:colOff>
      <xdr:row>23</xdr:row>
      <xdr:rowOff>1107449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4800" y="2689098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20321</xdr:colOff>
      <xdr:row>24</xdr:row>
      <xdr:rowOff>17789</xdr:rowOff>
    </xdr:from>
    <xdr:to>
      <xdr:col>10</xdr:col>
      <xdr:colOff>1473201</xdr:colOff>
      <xdr:row>24</xdr:row>
      <xdr:rowOff>1107449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1" y="2805938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25</xdr:row>
      <xdr:rowOff>30489</xdr:rowOff>
    </xdr:from>
    <xdr:to>
      <xdr:col>10</xdr:col>
      <xdr:colOff>1483360</xdr:colOff>
      <xdr:row>25</xdr:row>
      <xdr:rowOff>1127769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29240489"/>
          <a:ext cx="1463040" cy="1097280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</xdr:colOff>
      <xdr:row>26</xdr:row>
      <xdr:rowOff>35569</xdr:rowOff>
    </xdr:from>
    <xdr:to>
      <xdr:col>10</xdr:col>
      <xdr:colOff>1483360</xdr:colOff>
      <xdr:row>26</xdr:row>
      <xdr:rowOff>1117609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4800" y="30413969"/>
          <a:ext cx="1442720" cy="1082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27</xdr:row>
      <xdr:rowOff>22869</xdr:rowOff>
    </xdr:from>
    <xdr:to>
      <xdr:col>10</xdr:col>
      <xdr:colOff>1483360</xdr:colOff>
      <xdr:row>27</xdr:row>
      <xdr:rowOff>1127769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31569669"/>
          <a:ext cx="1473200" cy="1104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28</xdr:row>
      <xdr:rowOff>40640</xdr:rowOff>
    </xdr:from>
    <xdr:to>
      <xdr:col>10</xdr:col>
      <xdr:colOff>1446119</xdr:colOff>
      <xdr:row>28</xdr:row>
      <xdr:rowOff>1117609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32755840"/>
          <a:ext cx="1435959" cy="1076969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29</xdr:row>
      <xdr:rowOff>43189</xdr:rowOff>
    </xdr:from>
    <xdr:to>
      <xdr:col>11</xdr:col>
      <xdr:colOff>0</xdr:colOff>
      <xdr:row>29</xdr:row>
      <xdr:rowOff>1117609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5120" y="33926789"/>
          <a:ext cx="1432560" cy="107442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30</xdr:row>
      <xdr:rowOff>30480</xdr:rowOff>
    </xdr:from>
    <xdr:to>
      <xdr:col>11</xdr:col>
      <xdr:colOff>2864</xdr:colOff>
      <xdr:row>30</xdr:row>
      <xdr:rowOff>1137929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35082480"/>
          <a:ext cx="1476599" cy="1107449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31</xdr:row>
      <xdr:rowOff>55889</xdr:rowOff>
    </xdr:from>
    <xdr:to>
      <xdr:col>10</xdr:col>
      <xdr:colOff>1463040</xdr:colOff>
      <xdr:row>31</xdr:row>
      <xdr:rowOff>1137929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36276289"/>
          <a:ext cx="1442720" cy="108204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32</xdr:row>
      <xdr:rowOff>38109</xdr:rowOff>
    </xdr:from>
    <xdr:to>
      <xdr:col>10</xdr:col>
      <xdr:colOff>1483360</xdr:colOff>
      <xdr:row>32</xdr:row>
      <xdr:rowOff>1127769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3742690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35</xdr:row>
      <xdr:rowOff>50801</xdr:rowOff>
    </xdr:from>
    <xdr:to>
      <xdr:col>10</xdr:col>
      <xdr:colOff>1483360</xdr:colOff>
      <xdr:row>35</xdr:row>
      <xdr:rowOff>1140461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40944801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30481</xdr:colOff>
      <xdr:row>36</xdr:row>
      <xdr:rowOff>17789</xdr:rowOff>
    </xdr:from>
    <xdr:to>
      <xdr:col>10</xdr:col>
      <xdr:colOff>1483361</xdr:colOff>
      <xdr:row>36</xdr:row>
      <xdr:rowOff>1107449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1" y="4208018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37</xdr:row>
      <xdr:rowOff>27949</xdr:rowOff>
    </xdr:from>
    <xdr:to>
      <xdr:col>10</xdr:col>
      <xdr:colOff>1473200</xdr:colOff>
      <xdr:row>37</xdr:row>
      <xdr:rowOff>1117609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4325874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38</xdr:row>
      <xdr:rowOff>20320</xdr:rowOff>
    </xdr:from>
    <xdr:to>
      <xdr:col>11</xdr:col>
      <xdr:colOff>2864</xdr:colOff>
      <xdr:row>38</xdr:row>
      <xdr:rowOff>1127769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44419520"/>
          <a:ext cx="1476599" cy="1107449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39</xdr:row>
      <xdr:rowOff>30480</xdr:rowOff>
    </xdr:from>
    <xdr:to>
      <xdr:col>10</xdr:col>
      <xdr:colOff>1473212</xdr:colOff>
      <xdr:row>39</xdr:row>
      <xdr:rowOff>1127769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45598080"/>
          <a:ext cx="1463052" cy="1097289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40</xdr:row>
      <xdr:rowOff>40640</xdr:rowOff>
    </xdr:from>
    <xdr:to>
      <xdr:col>10</xdr:col>
      <xdr:colOff>1473212</xdr:colOff>
      <xdr:row>40</xdr:row>
      <xdr:rowOff>1137929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46776640"/>
          <a:ext cx="1463052" cy="1097289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41</xdr:row>
      <xdr:rowOff>7629</xdr:rowOff>
    </xdr:from>
    <xdr:to>
      <xdr:col>10</xdr:col>
      <xdr:colOff>1483360</xdr:colOff>
      <xdr:row>41</xdr:row>
      <xdr:rowOff>1097289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47912029"/>
          <a:ext cx="1452880" cy="108966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42</xdr:row>
      <xdr:rowOff>35569</xdr:rowOff>
    </xdr:from>
    <xdr:to>
      <xdr:col>11</xdr:col>
      <xdr:colOff>0</xdr:colOff>
      <xdr:row>42</xdr:row>
      <xdr:rowOff>1148089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49108369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43</xdr:row>
      <xdr:rowOff>30480</xdr:rowOff>
    </xdr:from>
    <xdr:to>
      <xdr:col>10</xdr:col>
      <xdr:colOff>1483372</xdr:colOff>
      <xdr:row>43</xdr:row>
      <xdr:rowOff>1127769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50271680"/>
          <a:ext cx="1463052" cy="1097289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</xdr:colOff>
      <xdr:row>44</xdr:row>
      <xdr:rowOff>30480</xdr:rowOff>
    </xdr:from>
    <xdr:to>
      <xdr:col>11</xdr:col>
      <xdr:colOff>3399</xdr:colOff>
      <xdr:row>44</xdr:row>
      <xdr:rowOff>1137929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480" y="51440080"/>
          <a:ext cx="1476599" cy="1107449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</xdr:colOff>
      <xdr:row>45</xdr:row>
      <xdr:rowOff>15249</xdr:rowOff>
    </xdr:from>
    <xdr:to>
      <xdr:col>11</xdr:col>
      <xdr:colOff>0</xdr:colOff>
      <xdr:row>45</xdr:row>
      <xdr:rowOff>1127769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4320" y="52593249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46</xdr:row>
      <xdr:rowOff>33029</xdr:rowOff>
    </xdr:from>
    <xdr:to>
      <xdr:col>10</xdr:col>
      <xdr:colOff>1463040</xdr:colOff>
      <xdr:row>46</xdr:row>
      <xdr:rowOff>1107449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53779429"/>
          <a:ext cx="1432560" cy="107442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47</xdr:row>
      <xdr:rowOff>60960</xdr:rowOff>
    </xdr:from>
    <xdr:to>
      <xdr:col>11</xdr:col>
      <xdr:colOff>12</xdr:colOff>
      <xdr:row>47</xdr:row>
      <xdr:rowOff>1158249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54975760"/>
          <a:ext cx="1463052" cy="1097289"/>
        </a:xfrm>
        <a:prstGeom prst="rect">
          <a:avLst/>
        </a:prstGeom>
      </xdr:spPr>
    </xdr:pic>
    <xdr:clientData/>
  </xdr:twoCellAnchor>
  <xdr:twoCellAnchor editAs="oneCell">
    <xdr:from>
      <xdr:col>10</xdr:col>
      <xdr:colOff>39278</xdr:colOff>
      <xdr:row>48</xdr:row>
      <xdr:rowOff>31424</xdr:rowOff>
    </xdr:from>
    <xdr:to>
      <xdr:col>10</xdr:col>
      <xdr:colOff>1481801</xdr:colOff>
      <xdr:row>48</xdr:row>
      <xdr:rowOff>1113316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041" y="55838104"/>
          <a:ext cx="1442523" cy="1081892"/>
        </a:xfrm>
        <a:prstGeom prst="rect">
          <a:avLst/>
        </a:prstGeom>
      </xdr:spPr>
    </xdr:pic>
    <xdr:clientData/>
  </xdr:twoCellAnchor>
  <xdr:twoCellAnchor>
    <xdr:from>
      <xdr:col>12</xdr:col>
      <xdr:colOff>588819</xdr:colOff>
      <xdr:row>8</xdr:row>
      <xdr:rowOff>658094</xdr:rowOff>
    </xdr:from>
    <xdr:to>
      <xdr:col>21</xdr:col>
      <xdr:colOff>432952</xdr:colOff>
      <xdr:row>25</xdr:row>
      <xdr:rowOff>658091</xdr:rowOff>
    </xdr:to>
    <xdr:cxnSp macro="">
      <xdr:nvCxnSpPr>
        <xdr:cNvPr id="46" name="Elbow Connector 45"/>
        <xdr:cNvCxnSpPr/>
      </xdr:nvCxnSpPr>
      <xdr:spPr>
        <a:xfrm rot="5400000" flipH="1" flipV="1">
          <a:off x="6935932" y="17153662"/>
          <a:ext cx="19725407" cy="5299361"/>
        </a:xfrm>
        <a:prstGeom prst="bentConnector3">
          <a:avLst>
            <a:gd name="adj1" fmla="val 13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522514</xdr:colOff>
      <xdr:row>2</xdr:row>
      <xdr:rowOff>566058</xdr:rowOff>
    </xdr:from>
    <xdr:to>
      <xdr:col>28</xdr:col>
      <xdr:colOff>289560</xdr:colOff>
      <xdr:row>8</xdr:row>
      <xdr:rowOff>429987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305314" y="2917372"/>
          <a:ext cx="8301446" cy="6917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12" zoomScale="78" workbookViewId="0">
      <selection activeCell="O15" sqref="O15"/>
    </sheetView>
  </sheetViews>
  <sheetFormatPr defaultRowHeight="14.4" x14ac:dyDescent="0.3"/>
  <cols>
    <col min="2" max="2" width="47.6640625" customWidth="1"/>
    <col min="3" max="3" width="13.88671875" customWidth="1"/>
    <col min="4" max="4" width="12.77734375" customWidth="1"/>
    <col min="5" max="7" width="10.88671875" customWidth="1"/>
    <col min="8" max="8" width="12" customWidth="1"/>
    <col min="9" max="9" width="10.88671875" customWidth="1"/>
    <col min="10" max="10" width="12.88671875" customWidth="1"/>
    <col min="11" max="11" width="21.77734375" customWidth="1"/>
    <col min="12" max="12" width="24.33203125" customWidth="1"/>
  </cols>
  <sheetData>
    <row r="1" spans="1:12" ht="91.8" customHeight="1" x14ac:dyDescent="0.3">
      <c r="A1" s="26" t="s">
        <v>29</v>
      </c>
      <c r="B1" s="26"/>
      <c r="C1" s="26"/>
      <c r="D1" s="26"/>
      <c r="E1" s="27"/>
      <c r="F1" s="9" t="s">
        <v>3</v>
      </c>
      <c r="G1" s="10">
        <v>0.62909999999999999</v>
      </c>
      <c r="H1" s="9" t="s">
        <v>34</v>
      </c>
      <c r="I1" s="10">
        <v>0</v>
      </c>
      <c r="J1" s="10" t="s">
        <v>35</v>
      </c>
      <c r="K1" s="10">
        <v>0.5</v>
      </c>
      <c r="L1" s="11"/>
    </row>
    <row r="2" spans="1:12" ht="91.8" customHeight="1" x14ac:dyDescent="0.3">
      <c r="A2" s="25" t="s">
        <v>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91.8" customHeight="1" x14ac:dyDescent="0.3">
      <c r="A3" s="8" t="s">
        <v>33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32</v>
      </c>
      <c r="G3" s="3" t="s">
        <v>4</v>
      </c>
      <c r="H3" s="3" t="s">
        <v>32</v>
      </c>
      <c r="I3" s="3" t="s">
        <v>5</v>
      </c>
      <c r="J3" s="8" t="s">
        <v>32</v>
      </c>
      <c r="K3" s="8" t="s">
        <v>30</v>
      </c>
      <c r="L3" s="21" t="s">
        <v>31</v>
      </c>
    </row>
    <row r="4" spans="1:12" ht="91.8" customHeight="1" x14ac:dyDescent="0.3">
      <c r="A4" s="7">
        <v>1</v>
      </c>
      <c r="B4" s="4" t="s">
        <v>6</v>
      </c>
      <c r="C4" s="4">
        <v>9.9999999999999995E-7</v>
      </c>
      <c r="D4" s="4" t="b">
        <v>1</v>
      </c>
      <c r="E4" s="5">
        <v>0.75050964187327818</v>
      </c>
      <c r="F4" s="5">
        <f>(E4/$G$1)*100-100</f>
        <v>19.298941642549394</v>
      </c>
      <c r="G4" s="5">
        <v>0.58216867791676497</v>
      </c>
      <c r="H4" s="5" t="e">
        <f>(G4/$I$1)*100-100</f>
        <v>#DIV/0!</v>
      </c>
      <c r="I4" s="5">
        <v>0.80624455044800825</v>
      </c>
      <c r="J4" s="5">
        <f>(I4/$K$1)*100-100</f>
        <v>61.248910089601651</v>
      </c>
      <c r="K4" s="2"/>
      <c r="L4" s="22" t="s">
        <v>36</v>
      </c>
    </row>
    <row r="5" spans="1:12" ht="91.8" customHeight="1" x14ac:dyDescent="0.3">
      <c r="A5" s="7">
        <v>2</v>
      </c>
      <c r="B5" s="4" t="s">
        <v>7</v>
      </c>
      <c r="C5" s="4">
        <v>9.9999999999999995E-7</v>
      </c>
      <c r="D5" s="4" t="b">
        <v>1</v>
      </c>
      <c r="E5" s="5">
        <v>0.74389807162534427</v>
      </c>
      <c r="F5" s="5">
        <f t="shared" ref="F5:F17" si="0">(E5/$G$1)*100-100</f>
        <v>18.247984680550672</v>
      </c>
      <c r="G5" s="5">
        <v>0.57506892618469352</v>
      </c>
      <c r="H5" s="5" t="e">
        <f t="shared" ref="H5:H17" si="1">(G5/$I$1)*100-100</f>
        <v>#DIV/0!</v>
      </c>
      <c r="I5" s="5">
        <v>0.7913462716488342</v>
      </c>
      <c r="J5" s="5">
        <f t="shared" ref="J5:J17" si="2">(I5/$K$1)*100-100</f>
        <v>58.269254329766852</v>
      </c>
      <c r="K5" s="2"/>
      <c r="L5" s="22" t="s">
        <v>36</v>
      </c>
    </row>
    <row r="6" spans="1:12" ht="91.8" customHeight="1" x14ac:dyDescent="0.3">
      <c r="A6" s="7">
        <v>3</v>
      </c>
      <c r="B6" s="4" t="s">
        <v>8</v>
      </c>
      <c r="C6" s="4">
        <v>9.9999999999999995E-7</v>
      </c>
      <c r="D6" s="4" t="b">
        <v>1</v>
      </c>
      <c r="E6" s="5">
        <v>0.74723140495867768</v>
      </c>
      <c r="F6" s="5">
        <f t="shared" si="0"/>
        <v>18.777842148891708</v>
      </c>
      <c r="G6" s="5">
        <v>0.57524076880879194</v>
      </c>
      <c r="H6" s="5" t="e">
        <f t="shared" si="1"/>
        <v>#DIV/0!</v>
      </c>
      <c r="I6" s="5">
        <v>0.78785269651277678</v>
      </c>
      <c r="J6" s="5">
        <f t="shared" si="2"/>
        <v>57.570539302555346</v>
      </c>
      <c r="K6" s="2"/>
      <c r="L6" s="22" t="s">
        <v>36</v>
      </c>
    </row>
    <row r="7" spans="1:12" ht="91.8" customHeight="1" x14ac:dyDescent="0.3">
      <c r="A7" s="7">
        <v>4</v>
      </c>
      <c r="B7" s="4" t="s">
        <v>9</v>
      </c>
      <c r="C7" s="4">
        <v>9.9999999999999995E-7</v>
      </c>
      <c r="D7" s="4" t="b">
        <v>1</v>
      </c>
      <c r="E7" s="5">
        <v>0.74223140495867768</v>
      </c>
      <c r="F7" s="5">
        <f t="shared" si="0"/>
        <v>17.983055946380162</v>
      </c>
      <c r="G7" s="5">
        <v>0.56329898552976698</v>
      </c>
      <c r="H7" s="5" t="e">
        <f t="shared" si="1"/>
        <v>#DIV/0!</v>
      </c>
      <c r="I7" s="5">
        <v>0.78923301407864543</v>
      </c>
      <c r="J7" s="5">
        <f t="shared" si="2"/>
        <v>57.846602815729085</v>
      </c>
      <c r="K7" s="2"/>
      <c r="L7" s="22" t="s">
        <v>36</v>
      </c>
    </row>
    <row r="8" spans="1:12" ht="91.8" customHeight="1" x14ac:dyDescent="0.3">
      <c r="A8" s="7">
        <v>5</v>
      </c>
      <c r="B8" s="4" t="s">
        <v>10</v>
      </c>
      <c r="C8" s="4">
        <v>9.9999999999999995E-7</v>
      </c>
      <c r="D8" s="4" t="b">
        <v>1</v>
      </c>
      <c r="E8" s="5">
        <v>0.7389393939393939</v>
      </c>
      <c r="F8" s="5">
        <f t="shared" si="0"/>
        <v>17.459766959051649</v>
      </c>
      <c r="G8" s="5">
        <v>0.56653398201385818</v>
      </c>
      <c r="H8" s="5" t="e">
        <f t="shared" si="1"/>
        <v>#DIV/0!</v>
      </c>
      <c r="I8" s="5">
        <v>0.78834579968417573</v>
      </c>
      <c r="J8" s="5">
        <f t="shared" si="2"/>
        <v>57.669159936835143</v>
      </c>
      <c r="K8" s="2"/>
      <c r="L8" s="22" t="s">
        <v>36</v>
      </c>
    </row>
    <row r="9" spans="1:12" ht="91.8" customHeight="1" x14ac:dyDescent="0.3">
      <c r="A9" s="7">
        <v>6</v>
      </c>
      <c r="B9" s="4" t="s">
        <v>11</v>
      </c>
      <c r="C9" s="4">
        <v>9.9999999999999995E-7</v>
      </c>
      <c r="D9" s="4" t="b">
        <v>1</v>
      </c>
      <c r="E9" s="5">
        <v>0.67066115702479334</v>
      </c>
      <c r="F9" s="5">
        <f t="shared" si="0"/>
        <v>6.6064468327441404</v>
      </c>
      <c r="G9" s="5">
        <v>0.34189562942980112</v>
      </c>
      <c r="H9" s="5" t="e">
        <f t="shared" si="1"/>
        <v>#DIV/0!</v>
      </c>
      <c r="I9" s="5">
        <v>0.69482209156491348</v>
      </c>
      <c r="J9" s="5">
        <f t="shared" si="2"/>
        <v>38.964418312982701</v>
      </c>
      <c r="K9" s="2"/>
      <c r="L9" s="22"/>
    </row>
    <row r="10" spans="1:12" ht="91.8" customHeight="1" x14ac:dyDescent="0.3">
      <c r="A10" s="7">
        <v>7</v>
      </c>
      <c r="B10" s="4" t="s">
        <v>12</v>
      </c>
      <c r="C10" s="4">
        <v>9.9999999999999995E-7</v>
      </c>
      <c r="D10" s="4" t="b">
        <v>1</v>
      </c>
      <c r="E10" s="5">
        <v>0.7388842975206612</v>
      </c>
      <c r="F10" s="5">
        <f t="shared" si="0"/>
        <v>17.451008984368329</v>
      </c>
      <c r="G10" s="5">
        <v>0.56407692794710551</v>
      </c>
      <c r="H10" s="5" t="e">
        <f t="shared" si="1"/>
        <v>#DIV/0!</v>
      </c>
      <c r="I10" s="5">
        <v>0.80623424035742652</v>
      </c>
      <c r="J10" s="5">
        <f t="shared" si="2"/>
        <v>61.246848071485317</v>
      </c>
      <c r="K10" s="2"/>
      <c r="L10" s="22"/>
    </row>
    <row r="11" spans="1:12" ht="91.8" customHeight="1" x14ac:dyDescent="0.3">
      <c r="A11" s="7">
        <v>8</v>
      </c>
      <c r="B11" s="4" t="s">
        <v>13</v>
      </c>
      <c r="C11" s="4">
        <v>9.9999999999999995E-7</v>
      </c>
      <c r="D11" s="4" t="b">
        <v>1</v>
      </c>
      <c r="E11" s="5">
        <v>0.757176308539945</v>
      </c>
      <c r="F11" s="5">
        <f t="shared" si="0"/>
        <v>20.358656579231436</v>
      </c>
      <c r="G11" s="5">
        <v>0.59735131000191244</v>
      </c>
      <c r="H11" s="5" t="e">
        <f t="shared" si="1"/>
        <v>#DIV/0!</v>
      </c>
      <c r="I11" s="5">
        <v>0.80244132389856371</v>
      </c>
      <c r="J11" s="5">
        <f t="shared" si="2"/>
        <v>60.48826477971275</v>
      </c>
      <c r="K11" s="2"/>
      <c r="L11" s="22" t="s">
        <v>37</v>
      </c>
    </row>
    <row r="12" spans="1:12" ht="91.8" customHeight="1" x14ac:dyDescent="0.3">
      <c r="A12" s="7">
        <v>9</v>
      </c>
      <c r="B12" s="4" t="s">
        <v>14</v>
      </c>
      <c r="C12" s="4">
        <v>9.9999999999999995E-7</v>
      </c>
      <c r="D12" s="4" t="b">
        <v>1</v>
      </c>
      <c r="E12" s="5">
        <v>0.75052341597796146</v>
      </c>
      <c r="F12" s="5">
        <f t="shared" si="0"/>
        <v>19.301131136220235</v>
      </c>
      <c r="G12" s="5">
        <v>0.59060371526124944</v>
      </c>
      <c r="H12" s="5" t="e">
        <f t="shared" si="1"/>
        <v>#DIV/0!</v>
      </c>
      <c r="I12" s="5">
        <v>0.8072381359507016</v>
      </c>
      <c r="J12" s="5">
        <f t="shared" si="2"/>
        <v>61.447627190140309</v>
      </c>
      <c r="K12" s="2"/>
      <c r="L12" s="22" t="s">
        <v>36</v>
      </c>
    </row>
    <row r="13" spans="1:12" ht="91.8" customHeight="1" x14ac:dyDescent="0.3">
      <c r="A13" s="7">
        <v>10</v>
      </c>
      <c r="B13" s="4" t="s">
        <v>15</v>
      </c>
      <c r="C13" s="4">
        <v>9.9999999999999995E-7</v>
      </c>
      <c r="D13" s="4" t="b">
        <v>1</v>
      </c>
      <c r="E13" s="5">
        <v>0.75217630853994488</v>
      </c>
      <c r="F13" s="5">
        <f t="shared" si="0"/>
        <v>19.56387037671989</v>
      </c>
      <c r="G13" s="5">
        <v>0.58373362314368193</v>
      </c>
      <c r="H13" s="5" t="e">
        <f t="shared" si="1"/>
        <v>#DIV/0!</v>
      </c>
      <c r="I13" s="5">
        <v>0.80287201049782086</v>
      </c>
      <c r="J13" s="5">
        <f t="shared" si="2"/>
        <v>60.574402099564168</v>
      </c>
      <c r="K13" s="2"/>
      <c r="L13" s="22" t="s">
        <v>36</v>
      </c>
    </row>
    <row r="14" spans="1:12" ht="91.8" customHeight="1" x14ac:dyDescent="0.3">
      <c r="A14" s="7">
        <v>11</v>
      </c>
      <c r="B14" s="4" t="s">
        <v>16</v>
      </c>
      <c r="C14" s="4">
        <v>9.9999999999999995E-7</v>
      </c>
      <c r="D14" s="4" t="b">
        <v>1</v>
      </c>
      <c r="E14" s="5">
        <v>0.74057851239669414</v>
      </c>
      <c r="F14" s="5">
        <f t="shared" si="0"/>
        <v>17.720316705880478</v>
      </c>
      <c r="G14" s="5">
        <v>0.56513340318218364</v>
      </c>
      <c r="H14" s="5" t="e">
        <f t="shared" si="1"/>
        <v>#DIV/0!</v>
      </c>
      <c r="I14" s="5">
        <v>0.78478649065249872</v>
      </c>
      <c r="J14" s="5">
        <f t="shared" si="2"/>
        <v>56.957298130499737</v>
      </c>
      <c r="K14" s="2"/>
      <c r="L14" s="22" t="s">
        <v>36</v>
      </c>
    </row>
    <row r="15" spans="1:12" ht="91.8" customHeight="1" x14ac:dyDescent="0.3">
      <c r="A15" s="30">
        <v>12</v>
      </c>
      <c r="B15" s="31" t="s">
        <v>17</v>
      </c>
      <c r="C15" s="31">
        <v>9.9999999999999995E-7</v>
      </c>
      <c r="D15" s="31" t="b">
        <v>1</v>
      </c>
      <c r="E15" s="32">
        <v>0.75720385674931123</v>
      </c>
      <c r="F15" s="32">
        <f t="shared" si="0"/>
        <v>20.363035566573089</v>
      </c>
      <c r="G15" s="32">
        <v>0.60289376518940041</v>
      </c>
      <c r="H15" s="32" t="e">
        <f t="shared" si="1"/>
        <v>#DIV/0!</v>
      </c>
      <c r="I15" s="32">
        <v>0.81266043311427683</v>
      </c>
      <c r="J15" s="32">
        <f t="shared" si="2"/>
        <v>62.53208662285536</v>
      </c>
      <c r="K15" s="33"/>
      <c r="L15" s="34" t="s">
        <v>38</v>
      </c>
    </row>
    <row r="16" spans="1:12" ht="91.8" customHeight="1" x14ac:dyDescent="0.3">
      <c r="A16" s="7">
        <v>13</v>
      </c>
      <c r="B16" s="4" t="s">
        <v>18</v>
      </c>
      <c r="C16" s="4">
        <v>9.9999999999999995E-7</v>
      </c>
      <c r="D16" s="4" t="b">
        <v>1</v>
      </c>
      <c r="E16" s="5">
        <v>0.75550964187327829</v>
      </c>
      <c r="F16" s="5">
        <f t="shared" si="0"/>
        <v>20.09372784506094</v>
      </c>
      <c r="G16" s="5">
        <v>0.59274301507103688</v>
      </c>
      <c r="H16" s="5" t="e">
        <f t="shared" si="1"/>
        <v>#DIV/0!</v>
      </c>
      <c r="I16" s="5">
        <v>0.79858184421321188</v>
      </c>
      <c r="J16" s="5">
        <f t="shared" si="2"/>
        <v>59.716368842642368</v>
      </c>
      <c r="K16" s="2"/>
      <c r="L16" s="22" t="s">
        <v>39</v>
      </c>
    </row>
    <row r="17" spans="1:12" ht="91.8" customHeight="1" x14ac:dyDescent="0.3">
      <c r="A17" s="7">
        <v>14</v>
      </c>
      <c r="B17" s="4" t="s">
        <v>19</v>
      </c>
      <c r="C17" s="4">
        <v>9.9999999999999995E-7</v>
      </c>
      <c r="D17" s="4" t="b">
        <v>1</v>
      </c>
      <c r="E17" s="5">
        <v>0.75387052341597793</v>
      </c>
      <c r="F17" s="5">
        <f t="shared" si="0"/>
        <v>19.833178098232068</v>
      </c>
      <c r="G17" s="5">
        <v>0.59927607882040357</v>
      </c>
      <c r="H17" s="5" t="e">
        <f t="shared" si="1"/>
        <v>#DIV/0!</v>
      </c>
      <c r="I17" s="5">
        <v>0.8055419846867824</v>
      </c>
      <c r="J17" s="5">
        <f t="shared" si="2"/>
        <v>61.108396937356474</v>
      </c>
      <c r="K17" s="2"/>
      <c r="L17" s="22" t="s">
        <v>36</v>
      </c>
    </row>
    <row r="18" spans="1:12" ht="91.8" customHeight="1" x14ac:dyDescent="0.3">
      <c r="A18" s="28" t="s">
        <v>27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91.8" customHeight="1" x14ac:dyDescent="0.3">
      <c r="A19" s="8" t="s">
        <v>33</v>
      </c>
      <c r="B19" s="3" t="s">
        <v>0</v>
      </c>
      <c r="C19" s="3" t="s">
        <v>20</v>
      </c>
      <c r="D19" s="3" t="s">
        <v>21</v>
      </c>
      <c r="E19" s="3" t="s">
        <v>3</v>
      </c>
      <c r="F19" s="3" t="s">
        <v>32</v>
      </c>
      <c r="G19" s="3" t="s">
        <v>4</v>
      </c>
      <c r="H19" s="3" t="s">
        <v>32</v>
      </c>
      <c r="I19" s="3" t="s">
        <v>5</v>
      </c>
      <c r="J19" s="3" t="s">
        <v>32</v>
      </c>
      <c r="K19" s="8" t="s">
        <v>30</v>
      </c>
      <c r="L19" s="21" t="s">
        <v>31</v>
      </c>
    </row>
    <row r="20" spans="1:12" ht="91.8" customHeight="1" x14ac:dyDescent="0.3">
      <c r="A20" s="12">
        <v>15</v>
      </c>
      <c r="B20" s="4" t="s">
        <v>6</v>
      </c>
      <c r="C20" s="7">
        <v>27</v>
      </c>
      <c r="D20" s="4" t="s">
        <v>22</v>
      </c>
      <c r="E20" s="5">
        <v>0.74223140495867768</v>
      </c>
      <c r="F20" s="5">
        <f t="shared" ref="F20:F33" si="3">(E20/$G$1)*100-100</f>
        <v>17.983055946380162</v>
      </c>
      <c r="G20" s="5">
        <v>0.55245147757471058</v>
      </c>
      <c r="H20" s="5" t="e">
        <f t="shared" ref="H20:H33" si="4">(G20/$I$1)*100-100</f>
        <v>#DIV/0!</v>
      </c>
      <c r="I20" s="5">
        <v>0.78161094505645301</v>
      </c>
      <c r="J20" s="5">
        <f t="shared" ref="J20:J33" si="5">(I20/$K$1)*100-100</f>
        <v>56.32218901129059</v>
      </c>
      <c r="K20" s="2"/>
      <c r="L20" s="22" t="s">
        <v>36</v>
      </c>
    </row>
    <row r="21" spans="1:12" ht="91.8" customHeight="1" x14ac:dyDescent="0.3">
      <c r="A21" s="12">
        <v>16</v>
      </c>
      <c r="B21" s="4" t="s">
        <v>7</v>
      </c>
      <c r="C21" s="7">
        <v>28</v>
      </c>
      <c r="D21" s="4" t="s">
        <v>22</v>
      </c>
      <c r="E21" s="5">
        <v>0.74717630853994488</v>
      </c>
      <c r="F21" s="5">
        <f t="shared" si="3"/>
        <v>18.769084174208373</v>
      </c>
      <c r="G21" s="5">
        <v>0.54385572640465063</v>
      </c>
      <c r="H21" s="5" t="e">
        <f t="shared" si="4"/>
        <v>#DIV/0!</v>
      </c>
      <c r="I21" s="5">
        <v>0.77552337374813451</v>
      </c>
      <c r="J21" s="5">
        <f t="shared" si="5"/>
        <v>55.104674749626895</v>
      </c>
      <c r="K21" s="2"/>
      <c r="L21" s="22" t="s">
        <v>40</v>
      </c>
    </row>
    <row r="22" spans="1:12" ht="91.8" customHeight="1" x14ac:dyDescent="0.3">
      <c r="A22" s="12">
        <v>17</v>
      </c>
      <c r="B22" s="4" t="s">
        <v>8</v>
      </c>
      <c r="C22" s="7">
        <v>19</v>
      </c>
      <c r="D22" s="4" t="s">
        <v>23</v>
      </c>
      <c r="E22" s="5">
        <v>0.75048209366391183</v>
      </c>
      <c r="F22" s="5">
        <f t="shared" si="3"/>
        <v>19.294562655207727</v>
      </c>
      <c r="G22" s="5">
        <v>0.57632411067193678</v>
      </c>
      <c r="H22" s="5" t="e">
        <f t="shared" si="4"/>
        <v>#DIV/0!</v>
      </c>
      <c r="I22" s="5">
        <v>0.76944857225036289</v>
      </c>
      <c r="J22" s="5">
        <f t="shared" si="5"/>
        <v>53.889714450072574</v>
      </c>
      <c r="K22" s="2"/>
      <c r="L22" s="22" t="s">
        <v>36</v>
      </c>
    </row>
    <row r="23" spans="1:12" ht="91.8" customHeight="1" x14ac:dyDescent="0.3">
      <c r="A23" s="12">
        <v>18</v>
      </c>
      <c r="B23" s="4" t="s">
        <v>9</v>
      </c>
      <c r="C23" s="7">
        <v>5</v>
      </c>
      <c r="D23" s="4" t="s">
        <v>22</v>
      </c>
      <c r="E23" s="5">
        <v>0.72387052341597791</v>
      </c>
      <c r="F23" s="5">
        <f t="shared" si="3"/>
        <v>15.064460883162909</v>
      </c>
      <c r="G23" s="5">
        <v>0.58304631058968825</v>
      </c>
      <c r="H23" s="5" t="e">
        <f t="shared" si="4"/>
        <v>#DIV/0!</v>
      </c>
      <c r="I23" s="5">
        <v>0.75199034696564782</v>
      </c>
      <c r="J23" s="5">
        <f t="shared" si="5"/>
        <v>50.39806939312956</v>
      </c>
      <c r="K23" s="2"/>
      <c r="L23" s="22" t="s">
        <v>36</v>
      </c>
    </row>
    <row r="24" spans="1:12" ht="91.8" customHeight="1" x14ac:dyDescent="0.3">
      <c r="A24" s="12">
        <v>19</v>
      </c>
      <c r="B24" s="4" t="s">
        <v>10</v>
      </c>
      <c r="C24" s="7">
        <v>7</v>
      </c>
      <c r="D24" s="4" t="s">
        <v>22</v>
      </c>
      <c r="E24" s="5">
        <v>0.71885674931129484</v>
      </c>
      <c r="F24" s="5">
        <f t="shared" si="3"/>
        <v>14.267485186980579</v>
      </c>
      <c r="G24" s="5">
        <v>0.54282565831533192</v>
      </c>
      <c r="H24" s="5" t="e">
        <f t="shared" si="4"/>
        <v>#DIV/0!</v>
      </c>
      <c r="I24" s="5">
        <v>0.74785764987987891</v>
      </c>
      <c r="J24" s="5">
        <f t="shared" si="5"/>
        <v>49.571529975975778</v>
      </c>
      <c r="K24" s="2"/>
      <c r="L24" s="22" t="s">
        <v>36</v>
      </c>
    </row>
    <row r="25" spans="1:12" ht="91.8" customHeight="1" x14ac:dyDescent="0.3">
      <c r="A25" s="12">
        <v>20</v>
      </c>
      <c r="B25" s="4" t="s">
        <v>11</v>
      </c>
      <c r="C25" s="7">
        <v>1</v>
      </c>
      <c r="D25" s="4" t="s">
        <v>22</v>
      </c>
      <c r="E25" s="5">
        <v>0.62068870523415975</v>
      </c>
      <c r="F25" s="5">
        <f t="shared" si="3"/>
        <v>-1.3370362050294347</v>
      </c>
      <c r="G25" s="5">
        <v>0.46473857011218728</v>
      </c>
      <c r="H25" s="5" t="e">
        <f t="shared" si="4"/>
        <v>#DIV/0!</v>
      </c>
      <c r="I25" s="5">
        <v>0.58648352779257384</v>
      </c>
      <c r="J25" s="5">
        <f t="shared" si="5"/>
        <v>17.296705558514773</v>
      </c>
      <c r="K25" s="2"/>
      <c r="L25" s="22" t="s">
        <v>41</v>
      </c>
    </row>
    <row r="26" spans="1:12" ht="91.8" customHeight="1" x14ac:dyDescent="0.3">
      <c r="A26" s="16">
        <v>21</v>
      </c>
      <c r="B26" s="17" t="s">
        <v>12</v>
      </c>
      <c r="C26" s="16">
        <v>13</v>
      </c>
      <c r="D26" s="17" t="s">
        <v>23</v>
      </c>
      <c r="E26" s="18">
        <v>0.75553719008264464</v>
      </c>
      <c r="F26" s="18">
        <f t="shared" si="3"/>
        <v>20.098106832402578</v>
      </c>
      <c r="G26" s="18">
        <v>0.61990871377319623</v>
      </c>
      <c r="H26" s="18" t="e">
        <f t="shared" si="4"/>
        <v>#DIV/0!</v>
      </c>
      <c r="I26" s="18">
        <v>0.80486364858084536</v>
      </c>
      <c r="J26" s="18">
        <f t="shared" si="5"/>
        <v>60.972729716169084</v>
      </c>
      <c r="K26" s="19"/>
      <c r="L26" s="23" t="s">
        <v>42</v>
      </c>
    </row>
    <row r="27" spans="1:12" ht="91.8" customHeight="1" x14ac:dyDescent="0.3">
      <c r="A27" s="12">
        <v>22</v>
      </c>
      <c r="B27" s="4" t="s">
        <v>13</v>
      </c>
      <c r="C27" s="7">
        <v>17</v>
      </c>
      <c r="D27" s="4" t="s">
        <v>22</v>
      </c>
      <c r="E27" s="5">
        <v>0.74219008264462816</v>
      </c>
      <c r="F27" s="5">
        <f t="shared" si="3"/>
        <v>17.976487465367683</v>
      </c>
      <c r="G27" s="5">
        <v>0.56160695468914645</v>
      </c>
      <c r="H27" s="5" t="e">
        <f t="shared" si="4"/>
        <v>#DIV/0!</v>
      </c>
      <c r="I27" s="5">
        <v>0.77455504514010221</v>
      </c>
      <c r="J27" s="5">
        <f t="shared" si="5"/>
        <v>54.91100902802043</v>
      </c>
      <c r="K27" s="2"/>
      <c r="L27" s="22" t="s">
        <v>36</v>
      </c>
    </row>
    <row r="28" spans="1:12" ht="91.8" customHeight="1" x14ac:dyDescent="0.3">
      <c r="A28" s="12">
        <v>23</v>
      </c>
      <c r="B28" s="4" t="s">
        <v>14</v>
      </c>
      <c r="C28" s="7">
        <v>17</v>
      </c>
      <c r="D28" s="4" t="s">
        <v>22</v>
      </c>
      <c r="E28" s="5">
        <v>0.74389807162534427</v>
      </c>
      <c r="F28" s="5">
        <f t="shared" si="3"/>
        <v>18.247984680550672</v>
      </c>
      <c r="G28" s="5">
        <v>0.57900869032041613</v>
      </c>
      <c r="H28" s="5" t="e">
        <f t="shared" si="4"/>
        <v>#DIV/0!</v>
      </c>
      <c r="I28" s="5">
        <v>0.78810252301298911</v>
      </c>
      <c r="J28" s="5">
        <f t="shared" si="5"/>
        <v>57.620504602597833</v>
      </c>
      <c r="K28" s="2"/>
      <c r="L28" s="22" t="s">
        <v>36</v>
      </c>
    </row>
    <row r="29" spans="1:12" ht="91.8" customHeight="1" x14ac:dyDescent="0.3">
      <c r="A29" s="12">
        <v>24</v>
      </c>
      <c r="B29" s="4" t="s">
        <v>15</v>
      </c>
      <c r="C29" s="7">
        <v>3</v>
      </c>
      <c r="D29" s="4" t="s">
        <v>23</v>
      </c>
      <c r="E29" s="5">
        <v>0.72549586776859498</v>
      </c>
      <c r="F29" s="5">
        <f t="shared" si="3"/>
        <v>15.322821136320925</v>
      </c>
      <c r="G29" s="5">
        <v>0.57882668858278608</v>
      </c>
      <c r="H29" s="5" t="e">
        <f t="shared" si="4"/>
        <v>#DIV/0!</v>
      </c>
      <c r="I29" s="5">
        <v>0.71961234624865378</v>
      </c>
      <c r="J29" s="5">
        <f t="shared" si="5"/>
        <v>43.922469249730767</v>
      </c>
      <c r="K29" s="2"/>
      <c r="L29" s="22" t="s">
        <v>36</v>
      </c>
    </row>
    <row r="30" spans="1:12" ht="91.8" customHeight="1" x14ac:dyDescent="0.3">
      <c r="A30" s="12">
        <v>25</v>
      </c>
      <c r="B30" s="4" t="s">
        <v>16</v>
      </c>
      <c r="C30" s="7">
        <v>3</v>
      </c>
      <c r="D30" s="4" t="s">
        <v>23</v>
      </c>
      <c r="E30" s="5">
        <v>0.71393939393939398</v>
      </c>
      <c r="F30" s="5">
        <f t="shared" si="3"/>
        <v>13.485835946494035</v>
      </c>
      <c r="G30" s="5">
        <v>0.57011340329538251</v>
      </c>
      <c r="H30" s="5" t="e">
        <f t="shared" si="4"/>
        <v>#DIV/0!</v>
      </c>
      <c r="I30" s="5">
        <v>0.72986576902909106</v>
      </c>
      <c r="J30" s="5">
        <f t="shared" si="5"/>
        <v>45.973153805818214</v>
      </c>
      <c r="K30" s="2"/>
      <c r="L30" s="22" t="s">
        <v>43</v>
      </c>
    </row>
    <row r="31" spans="1:12" ht="91.8" customHeight="1" x14ac:dyDescent="0.3">
      <c r="A31" s="12">
        <v>26</v>
      </c>
      <c r="B31" s="4" t="s">
        <v>17</v>
      </c>
      <c r="C31" s="7">
        <v>7</v>
      </c>
      <c r="D31" s="4" t="s">
        <v>23</v>
      </c>
      <c r="E31" s="5">
        <v>0.73221763085399449</v>
      </c>
      <c r="F31" s="5">
        <f t="shared" si="3"/>
        <v>16.391294047686287</v>
      </c>
      <c r="G31" s="5">
        <v>0.57585128005876607</v>
      </c>
      <c r="H31" s="5" t="e">
        <f t="shared" si="4"/>
        <v>#DIV/0!</v>
      </c>
      <c r="I31" s="5">
        <v>0.76332500986715246</v>
      </c>
      <c r="J31" s="5">
        <f t="shared" si="5"/>
        <v>52.665001973430492</v>
      </c>
      <c r="K31" s="2"/>
      <c r="L31" s="22" t="s">
        <v>36</v>
      </c>
    </row>
    <row r="32" spans="1:12" ht="91.8" customHeight="1" x14ac:dyDescent="0.3">
      <c r="A32" s="12">
        <v>27</v>
      </c>
      <c r="B32" s="4" t="s">
        <v>18</v>
      </c>
      <c r="C32" s="7">
        <v>19</v>
      </c>
      <c r="D32" s="4" t="s">
        <v>23</v>
      </c>
      <c r="E32" s="5">
        <v>0.73553719008264462</v>
      </c>
      <c r="F32" s="5">
        <f t="shared" si="3"/>
        <v>16.918962022356482</v>
      </c>
      <c r="G32" s="5">
        <v>0.55025116097195637</v>
      </c>
      <c r="H32" s="5" t="e">
        <f t="shared" si="4"/>
        <v>#DIV/0!</v>
      </c>
      <c r="I32" s="5">
        <v>0.7731723526721983</v>
      </c>
      <c r="J32" s="5">
        <f t="shared" si="5"/>
        <v>54.634470534439657</v>
      </c>
      <c r="K32" s="2"/>
      <c r="L32" s="22" t="s">
        <v>36</v>
      </c>
    </row>
    <row r="33" spans="1:12" ht="91.8" customHeight="1" x14ac:dyDescent="0.3">
      <c r="A33" s="12">
        <v>28</v>
      </c>
      <c r="B33" s="13" t="s">
        <v>19</v>
      </c>
      <c r="C33" s="20">
        <v>9</v>
      </c>
      <c r="D33" s="13" t="s">
        <v>22</v>
      </c>
      <c r="E33" s="14">
        <v>0.71725895316804411</v>
      </c>
      <c r="F33" s="5">
        <f t="shared" si="3"/>
        <v>14.013503921164229</v>
      </c>
      <c r="G33" s="14">
        <v>0.55966694807777828</v>
      </c>
      <c r="H33" s="5" t="e">
        <f t="shared" si="4"/>
        <v>#DIV/0!</v>
      </c>
      <c r="I33" s="14">
        <v>0.75654135665713318</v>
      </c>
      <c r="J33" s="5">
        <f t="shared" si="5"/>
        <v>51.308271331426624</v>
      </c>
      <c r="K33" s="15"/>
      <c r="L33" s="24" t="s">
        <v>36</v>
      </c>
    </row>
    <row r="34" spans="1:12" ht="91.8" customHeight="1" x14ac:dyDescent="0.3">
      <c r="A34" s="25" t="s">
        <v>28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ht="91.8" customHeight="1" x14ac:dyDescent="0.3">
      <c r="A35" s="8" t="s">
        <v>33</v>
      </c>
      <c r="B35" s="3" t="s">
        <v>0</v>
      </c>
      <c r="C35" s="3" t="s">
        <v>24</v>
      </c>
      <c r="D35" s="3" t="s">
        <v>25</v>
      </c>
      <c r="E35" s="3" t="s">
        <v>3</v>
      </c>
      <c r="F35" s="3" t="s">
        <v>32</v>
      </c>
      <c r="G35" s="3" t="s">
        <v>4</v>
      </c>
      <c r="H35" s="3" t="s">
        <v>32</v>
      </c>
      <c r="I35" s="3" t="s">
        <v>5</v>
      </c>
      <c r="J35" s="3" t="s">
        <v>32</v>
      </c>
      <c r="K35" s="8" t="s">
        <v>30</v>
      </c>
      <c r="L35" s="6" t="s">
        <v>31</v>
      </c>
    </row>
    <row r="36" spans="1:12" ht="91.8" customHeight="1" x14ac:dyDescent="0.3">
      <c r="A36" s="12">
        <v>29</v>
      </c>
      <c r="B36" s="4" t="s">
        <v>6</v>
      </c>
      <c r="C36" s="4">
        <v>500</v>
      </c>
      <c r="D36" s="4">
        <v>32</v>
      </c>
      <c r="E36" s="5">
        <v>0.74721763085399451</v>
      </c>
      <c r="F36" s="5">
        <f t="shared" ref="F36:F49" si="6">(E36/$G$1)*100-100</f>
        <v>18.775652655220881</v>
      </c>
      <c r="G36" s="5">
        <v>0.57301544526785941</v>
      </c>
      <c r="H36" s="5" t="e">
        <f t="shared" ref="H36:H49" si="7">(G36/$I$1)*100-100</f>
        <v>#DIV/0!</v>
      </c>
      <c r="I36" s="5">
        <v>0.8066076088845463</v>
      </c>
      <c r="J36" s="5">
        <f t="shared" ref="J36:J49" si="8">(I36/$K$1)*100-100</f>
        <v>61.321521776909265</v>
      </c>
      <c r="K36" s="2"/>
      <c r="L36" s="22" t="s">
        <v>36</v>
      </c>
    </row>
    <row r="37" spans="1:12" ht="91.8" customHeight="1" x14ac:dyDescent="0.3">
      <c r="A37" s="12">
        <v>30</v>
      </c>
      <c r="B37" s="4" t="s">
        <v>7</v>
      </c>
      <c r="C37" s="4">
        <v>1000</v>
      </c>
      <c r="D37" s="4">
        <v>45</v>
      </c>
      <c r="E37" s="5">
        <v>0.74888429752066121</v>
      </c>
      <c r="F37" s="5">
        <f t="shared" si="6"/>
        <v>19.040581389391392</v>
      </c>
      <c r="G37" s="5">
        <v>0.57807836120605127</v>
      </c>
      <c r="H37" s="5" t="e">
        <f t="shared" si="7"/>
        <v>#DIV/0!</v>
      </c>
      <c r="I37" s="5">
        <v>0.7913462716488342</v>
      </c>
      <c r="J37" s="5">
        <f t="shared" si="8"/>
        <v>58.269254329766852</v>
      </c>
      <c r="K37" s="2"/>
      <c r="L37" s="22" t="s">
        <v>36</v>
      </c>
    </row>
    <row r="38" spans="1:12" ht="91.8" customHeight="1" x14ac:dyDescent="0.3">
      <c r="A38" s="12">
        <v>31</v>
      </c>
      <c r="B38" s="4" t="s">
        <v>8</v>
      </c>
      <c r="C38" s="4">
        <v>100</v>
      </c>
      <c r="D38" s="4">
        <v>37</v>
      </c>
      <c r="E38" s="5">
        <v>0.74389807162534427</v>
      </c>
      <c r="F38" s="5">
        <f t="shared" si="6"/>
        <v>18.247984680550672</v>
      </c>
      <c r="G38" s="5">
        <v>0.56668461907617151</v>
      </c>
      <c r="H38" s="5" t="e">
        <f t="shared" si="7"/>
        <v>#DIV/0!</v>
      </c>
      <c r="I38" s="5">
        <v>0.78754906717240769</v>
      </c>
      <c r="J38" s="5">
        <f t="shared" si="8"/>
        <v>57.509813434481543</v>
      </c>
      <c r="K38" s="2"/>
      <c r="L38" s="22" t="s">
        <v>36</v>
      </c>
    </row>
    <row r="39" spans="1:12" ht="91.8" customHeight="1" x14ac:dyDescent="0.3">
      <c r="A39" s="12">
        <v>32</v>
      </c>
      <c r="B39" s="4" t="s">
        <v>9</v>
      </c>
      <c r="C39" s="4">
        <v>100</v>
      </c>
      <c r="D39" s="4">
        <v>25</v>
      </c>
      <c r="E39" s="5">
        <v>0.74389807162534427</v>
      </c>
      <c r="F39" s="5">
        <f t="shared" si="6"/>
        <v>18.247984680550672</v>
      </c>
      <c r="G39" s="5">
        <v>0.56510812166726132</v>
      </c>
      <c r="H39" s="5" t="e">
        <f t="shared" si="7"/>
        <v>#DIV/0!</v>
      </c>
      <c r="I39" s="5">
        <v>0.78984453250430398</v>
      </c>
      <c r="J39" s="5">
        <f t="shared" si="8"/>
        <v>57.968906500860783</v>
      </c>
      <c r="K39" s="2"/>
      <c r="L39" s="22" t="s">
        <v>36</v>
      </c>
    </row>
    <row r="40" spans="1:12" ht="91.8" customHeight="1" x14ac:dyDescent="0.3">
      <c r="A40" s="12">
        <v>33</v>
      </c>
      <c r="B40" s="4" t="s">
        <v>10</v>
      </c>
      <c r="C40" s="4">
        <v>500</v>
      </c>
      <c r="D40" s="4">
        <v>2</v>
      </c>
      <c r="E40" s="5">
        <v>0.74556473829201109</v>
      </c>
      <c r="F40" s="5">
        <f t="shared" si="6"/>
        <v>18.512913414721211</v>
      </c>
      <c r="G40" s="5">
        <v>0.57188588027803711</v>
      </c>
      <c r="H40" s="5" t="e">
        <f t="shared" si="7"/>
        <v>#DIV/0!</v>
      </c>
      <c r="I40" s="5">
        <v>0.78840684974522579</v>
      </c>
      <c r="J40" s="5">
        <f t="shared" si="8"/>
        <v>57.681369949045148</v>
      </c>
      <c r="K40" s="2"/>
      <c r="L40" s="22" t="s">
        <v>36</v>
      </c>
    </row>
    <row r="41" spans="1:12" ht="91.8" customHeight="1" x14ac:dyDescent="0.3">
      <c r="A41" s="12">
        <v>34</v>
      </c>
      <c r="B41" s="4" t="s">
        <v>11</v>
      </c>
      <c r="C41" s="4">
        <v>100</v>
      </c>
      <c r="D41" s="4">
        <v>10</v>
      </c>
      <c r="E41" s="5">
        <v>0.67563360881542711</v>
      </c>
      <c r="F41" s="5">
        <f t="shared" si="6"/>
        <v>7.3968540479140188</v>
      </c>
      <c r="G41" s="5">
        <v>0.33220999206480151</v>
      </c>
      <c r="H41" s="5" t="e">
        <f t="shared" si="7"/>
        <v>#DIV/0!</v>
      </c>
      <c r="I41" s="5">
        <v>0.69545119557469048</v>
      </c>
      <c r="J41" s="5">
        <f t="shared" si="8"/>
        <v>39.0902391149381</v>
      </c>
      <c r="K41" s="2"/>
      <c r="L41" s="22" t="s">
        <v>44</v>
      </c>
    </row>
    <row r="42" spans="1:12" ht="91.8" customHeight="1" x14ac:dyDescent="0.3">
      <c r="A42" s="12">
        <v>35</v>
      </c>
      <c r="B42" s="4" t="s">
        <v>12</v>
      </c>
      <c r="C42" s="4">
        <v>50</v>
      </c>
      <c r="D42" s="4">
        <v>49</v>
      </c>
      <c r="E42" s="5">
        <v>0.74053719008264463</v>
      </c>
      <c r="F42" s="5">
        <f t="shared" si="6"/>
        <v>17.713748224867999</v>
      </c>
      <c r="G42" s="5">
        <v>0.56533911957074301</v>
      </c>
      <c r="H42" s="5" t="e">
        <f t="shared" si="7"/>
        <v>#DIV/0!</v>
      </c>
      <c r="I42" s="5">
        <v>0.80678284272757883</v>
      </c>
      <c r="J42" s="5">
        <f t="shared" si="8"/>
        <v>61.356568545515756</v>
      </c>
      <c r="K42" s="2"/>
      <c r="L42" s="22" t="s">
        <v>36</v>
      </c>
    </row>
    <row r="43" spans="1:12" ht="91.8" customHeight="1" x14ac:dyDescent="0.3">
      <c r="A43" s="12">
        <v>36</v>
      </c>
      <c r="B43" s="4" t="s">
        <v>13</v>
      </c>
      <c r="C43" s="4">
        <v>50</v>
      </c>
      <c r="D43" s="4">
        <v>14</v>
      </c>
      <c r="E43" s="5">
        <v>0.75719008264462817</v>
      </c>
      <c r="F43" s="5">
        <f t="shared" si="6"/>
        <v>20.360846072902277</v>
      </c>
      <c r="G43" s="5">
        <v>0.5956683276510184</v>
      </c>
      <c r="H43" s="5" t="e">
        <f t="shared" si="7"/>
        <v>#DIV/0!</v>
      </c>
      <c r="I43" s="5">
        <v>0.80311768091947167</v>
      </c>
      <c r="J43" s="5">
        <f t="shared" si="8"/>
        <v>60.623536183894345</v>
      </c>
      <c r="K43" s="2"/>
      <c r="L43" s="22" t="s">
        <v>36</v>
      </c>
    </row>
    <row r="44" spans="1:12" ht="91.8" customHeight="1" x14ac:dyDescent="0.3">
      <c r="A44" s="12">
        <v>37</v>
      </c>
      <c r="B44" s="4" t="s">
        <v>14</v>
      </c>
      <c r="C44" s="4">
        <v>1000</v>
      </c>
      <c r="D44" s="4">
        <v>9</v>
      </c>
      <c r="E44" s="5">
        <v>0.74887052341597793</v>
      </c>
      <c r="F44" s="5">
        <f t="shared" si="6"/>
        <v>19.038391895720537</v>
      </c>
      <c r="G44" s="5">
        <v>0.58710400212298219</v>
      </c>
      <c r="H44" s="5" t="e">
        <f t="shared" si="7"/>
        <v>#DIV/0!</v>
      </c>
      <c r="I44" s="5">
        <v>0.80699206971204496</v>
      </c>
      <c r="J44" s="5">
        <f t="shared" si="8"/>
        <v>61.398413942408979</v>
      </c>
      <c r="K44" s="2"/>
      <c r="L44" s="22" t="s">
        <v>36</v>
      </c>
    </row>
    <row r="45" spans="1:12" ht="91.8" customHeight="1" x14ac:dyDescent="0.3">
      <c r="A45" s="12">
        <v>38</v>
      </c>
      <c r="B45" s="4" t="s">
        <v>15</v>
      </c>
      <c r="C45" s="4">
        <v>1000</v>
      </c>
      <c r="D45" s="4">
        <v>29</v>
      </c>
      <c r="E45" s="5">
        <v>0.74720385674931133</v>
      </c>
      <c r="F45" s="5">
        <f t="shared" si="6"/>
        <v>18.77346316155004</v>
      </c>
      <c r="G45" s="5">
        <v>0.57502900812649271</v>
      </c>
      <c r="H45" s="5" t="e">
        <f t="shared" si="7"/>
        <v>#DIV/0!</v>
      </c>
      <c r="I45" s="5">
        <v>0.80348383049834116</v>
      </c>
      <c r="J45" s="5">
        <f t="shared" si="8"/>
        <v>60.696766099668224</v>
      </c>
      <c r="K45" s="2"/>
      <c r="L45" s="22" t="s">
        <v>36</v>
      </c>
    </row>
    <row r="46" spans="1:12" ht="91.8" customHeight="1" x14ac:dyDescent="0.3">
      <c r="A46" s="12">
        <v>39</v>
      </c>
      <c r="B46" s="4" t="s">
        <v>16</v>
      </c>
      <c r="C46" s="4">
        <v>100</v>
      </c>
      <c r="D46" s="4">
        <v>9</v>
      </c>
      <c r="E46" s="5">
        <v>0.74392561983471084</v>
      </c>
      <c r="F46" s="5">
        <f t="shared" si="6"/>
        <v>18.252363667892354</v>
      </c>
      <c r="G46" s="5">
        <v>0.56687947917970738</v>
      </c>
      <c r="H46" s="5" t="e">
        <f t="shared" si="7"/>
        <v>#DIV/0!</v>
      </c>
      <c r="I46" s="5">
        <v>0.78503355585788437</v>
      </c>
      <c r="J46" s="5">
        <f t="shared" si="8"/>
        <v>57.006711171576882</v>
      </c>
      <c r="K46" s="2"/>
      <c r="L46" s="22" t="s">
        <v>36</v>
      </c>
    </row>
    <row r="47" spans="1:12" ht="91.8" customHeight="1" x14ac:dyDescent="0.3">
      <c r="A47" s="30">
        <v>40</v>
      </c>
      <c r="B47" s="31" t="s">
        <v>17</v>
      </c>
      <c r="C47" s="31">
        <v>1000</v>
      </c>
      <c r="D47" s="31">
        <v>35</v>
      </c>
      <c r="E47" s="32">
        <v>0.76052341597796136</v>
      </c>
      <c r="F47" s="32">
        <f t="shared" si="6"/>
        <v>20.890703541243269</v>
      </c>
      <c r="G47" s="32">
        <v>0.60325722566480111</v>
      </c>
      <c r="H47" s="32" t="e">
        <f t="shared" si="7"/>
        <v>#DIV/0!</v>
      </c>
      <c r="I47" s="32">
        <v>0.81204009362391594</v>
      </c>
      <c r="J47" s="32">
        <f t="shared" si="8"/>
        <v>62.408018724783176</v>
      </c>
      <c r="K47" s="33"/>
      <c r="L47" s="34" t="s">
        <v>45</v>
      </c>
    </row>
    <row r="48" spans="1:12" ht="91.8" customHeight="1" x14ac:dyDescent="0.3">
      <c r="A48" s="12">
        <v>41</v>
      </c>
      <c r="B48" s="4" t="s">
        <v>18</v>
      </c>
      <c r="C48" s="4">
        <v>100</v>
      </c>
      <c r="D48" s="4">
        <v>46</v>
      </c>
      <c r="E48" s="5">
        <v>0.75052341597796146</v>
      </c>
      <c r="F48" s="5">
        <f t="shared" si="6"/>
        <v>19.301131136220235</v>
      </c>
      <c r="G48" s="5">
        <v>0.57843228905620858</v>
      </c>
      <c r="H48" s="5" t="e">
        <f t="shared" si="7"/>
        <v>#DIV/0!</v>
      </c>
      <c r="I48" s="5">
        <v>0.79888632173287921</v>
      </c>
      <c r="J48" s="5">
        <f t="shared" si="8"/>
        <v>59.777264346575834</v>
      </c>
      <c r="K48" s="2"/>
      <c r="L48" s="22" t="s">
        <v>36</v>
      </c>
    </row>
    <row r="49" spans="1:12" ht="91.8" customHeight="1" x14ac:dyDescent="0.3">
      <c r="A49" s="12">
        <v>42</v>
      </c>
      <c r="B49" s="4" t="s">
        <v>19</v>
      </c>
      <c r="C49" s="4">
        <v>50</v>
      </c>
      <c r="D49" s="4">
        <v>15</v>
      </c>
      <c r="E49" s="5">
        <v>0.75221763085399451</v>
      </c>
      <c r="F49" s="5">
        <f t="shared" si="6"/>
        <v>19.570438857732398</v>
      </c>
      <c r="G49" s="5">
        <v>0.59801752888880311</v>
      </c>
      <c r="H49" s="5" t="e">
        <f t="shared" si="7"/>
        <v>#DIV/0!</v>
      </c>
      <c r="I49" s="5">
        <v>0.80572807522483347</v>
      </c>
      <c r="J49" s="5">
        <f t="shared" si="8"/>
        <v>61.145615044966689</v>
      </c>
      <c r="K49" s="2"/>
      <c r="L49" s="22" t="s">
        <v>36</v>
      </c>
    </row>
  </sheetData>
  <mergeCells count="4">
    <mergeCell ref="A34:L34"/>
    <mergeCell ref="A1:E1"/>
    <mergeCell ref="A2:L2"/>
    <mergeCell ref="A18:L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F1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9.9999999999999995E-7</v>
      </c>
      <c r="C2" t="b">
        <v>1</v>
      </c>
      <c r="D2">
        <v>0.75050964187327818</v>
      </c>
      <c r="E2">
        <v>0.58216867791676497</v>
      </c>
      <c r="F2">
        <v>0.80624455044800825</v>
      </c>
    </row>
    <row r="3" spans="1:6" x14ac:dyDescent="0.3">
      <c r="A3" t="s">
        <v>7</v>
      </c>
      <c r="B3">
        <v>9.9999999999999995E-7</v>
      </c>
      <c r="C3" t="b">
        <v>1</v>
      </c>
      <c r="D3">
        <v>0.74389807162534427</v>
      </c>
      <c r="E3">
        <v>0.57506892618469352</v>
      </c>
      <c r="F3">
        <v>0.7913462716488342</v>
      </c>
    </row>
    <row r="4" spans="1:6" x14ac:dyDescent="0.3">
      <c r="A4" t="s">
        <v>8</v>
      </c>
      <c r="B4">
        <v>9.9999999999999995E-7</v>
      </c>
      <c r="C4" t="b">
        <v>1</v>
      </c>
      <c r="D4">
        <v>0.74723140495867768</v>
      </c>
      <c r="E4">
        <v>0.57524076880879194</v>
      </c>
      <c r="F4">
        <v>0.78785269651277678</v>
      </c>
    </row>
    <row r="5" spans="1:6" x14ac:dyDescent="0.3">
      <c r="A5" t="s">
        <v>9</v>
      </c>
      <c r="B5">
        <v>9.9999999999999995E-7</v>
      </c>
      <c r="C5" t="b">
        <v>1</v>
      </c>
      <c r="D5">
        <v>0.74223140495867768</v>
      </c>
      <c r="E5">
        <v>0.56329898552976698</v>
      </c>
      <c r="F5">
        <v>0.78923301407864543</v>
      </c>
    </row>
    <row r="6" spans="1:6" x14ac:dyDescent="0.3">
      <c r="A6" t="s">
        <v>10</v>
      </c>
      <c r="B6">
        <v>9.9999999999999995E-7</v>
      </c>
      <c r="C6" t="b">
        <v>1</v>
      </c>
      <c r="D6">
        <v>0.7389393939393939</v>
      </c>
      <c r="E6">
        <v>0.56653398201385818</v>
      </c>
      <c r="F6">
        <v>0.78834579968417573</v>
      </c>
    </row>
    <row r="7" spans="1:6" x14ac:dyDescent="0.3">
      <c r="A7" t="s">
        <v>11</v>
      </c>
      <c r="B7">
        <v>9.9999999999999995E-7</v>
      </c>
      <c r="C7" t="b">
        <v>1</v>
      </c>
      <c r="D7">
        <v>0.67066115702479334</v>
      </c>
      <c r="E7">
        <v>0.34189562942980112</v>
      </c>
      <c r="F7">
        <v>0.69482209156491348</v>
      </c>
    </row>
    <row r="8" spans="1:6" x14ac:dyDescent="0.3">
      <c r="A8" t="s">
        <v>12</v>
      </c>
      <c r="B8">
        <v>9.9999999999999995E-7</v>
      </c>
      <c r="C8" t="b">
        <v>1</v>
      </c>
      <c r="D8">
        <v>0.7388842975206612</v>
      </c>
      <c r="E8">
        <v>0.56407692794710551</v>
      </c>
      <c r="F8">
        <v>0.80623424035742652</v>
      </c>
    </row>
    <row r="9" spans="1:6" x14ac:dyDescent="0.3">
      <c r="A9" t="s">
        <v>13</v>
      </c>
      <c r="B9">
        <v>9.9999999999999995E-7</v>
      </c>
      <c r="C9" t="b">
        <v>1</v>
      </c>
      <c r="D9">
        <v>0.757176308539945</v>
      </c>
      <c r="E9">
        <v>0.59735131000191244</v>
      </c>
      <c r="F9">
        <v>0.80244132389856371</v>
      </c>
    </row>
    <row r="10" spans="1:6" x14ac:dyDescent="0.3">
      <c r="A10" t="s">
        <v>14</v>
      </c>
      <c r="B10">
        <v>9.9999999999999995E-7</v>
      </c>
      <c r="C10" t="b">
        <v>1</v>
      </c>
      <c r="D10">
        <v>0.75052341597796146</v>
      </c>
      <c r="E10">
        <v>0.59060371526124944</v>
      </c>
      <c r="F10">
        <v>0.8072381359507016</v>
      </c>
    </row>
    <row r="11" spans="1:6" x14ac:dyDescent="0.3">
      <c r="A11" t="s">
        <v>15</v>
      </c>
      <c r="B11">
        <v>9.9999999999999995E-7</v>
      </c>
      <c r="C11" t="b">
        <v>1</v>
      </c>
      <c r="D11">
        <v>0.75217630853994488</v>
      </c>
      <c r="E11">
        <v>0.58373362314368193</v>
      </c>
      <c r="F11">
        <v>0.80287201049782086</v>
      </c>
    </row>
    <row r="12" spans="1:6" x14ac:dyDescent="0.3">
      <c r="A12" t="s">
        <v>16</v>
      </c>
      <c r="B12">
        <v>9.9999999999999995E-7</v>
      </c>
      <c r="C12" t="b">
        <v>1</v>
      </c>
      <c r="D12">
        <v>0.74057851239669414</v>
      </c>
      <c r="E12">
        <v>0.56513340318218364</v>
      </c>
      <c r="F12">
        <v>0.78478649065249872</v>
      </c>
    </row>
    <row r="13" spans="1:6" x14ac:dyDescent="0.3">
      <c r="A13" t="s">
        <v>17</v>
      </c>
      <c r="B13">
        <v>9.9999999999999995E-7</v>
      </c>
      <c r="C13" t="b">
        <v>1</v>
      </c>
      <c r="D13">
        <v>0.75720385674931123</v>
      </c>
      <c r="E13">
        <v>0.60289376518940041</v>
      </c>
      <c r="F13">
        <v>0.81266043311427683</v>
      </c>
    </row>
    <row r="14" spans="1:6" x14ac:dyDescent="0.3">
      <c r="A14" t="s">
        <v>18</v>
      </c>
      <c r="B14">
        <v>9.9999999999999995E-7</v>
      </c>
      <c r="C14" t="b">
        <v>1</v>
      </c>
      <c r="D14">
        <v>0.75550964187327829</v>
      </c>
      <c r="E14">
        <v>0.59274301507103688</v>
      </c>
      <c r="F14">
        <v>0.79858184421321188</v>
      </c>
    </row>
    <row r="15" spans="1:6" x14ac:dyDescent="0.3">
      <c r="A15" t="s">
        <v>19</v>
      </c>
      <c r="B15">
        <v>9.9999999999999995E-7</v>
      </c>
      <c r="C15" t="b">
        <v>1</v>
      </c>
      <c r="D15">
        <v>0.75387052341597793</v>
      </c>
      <c r="E15">
        <v>0.59927607882040357</v>
      </c>
      <c r="F15">
        <v>0.8055419846867824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5" sqref="F15"/>
    </sheetView>
  </sheetViews>
  <sheetFormatPr defaultRowHeight="14.4" x14ac:dyDescent="0.3"/>
  <sheetData>
    <row r="1" spans="1:6" x14ac:dyDescent="0.3">
      <c r="A1" s="1" t="s">
        <v>0</v>
      </c>
      <c r="B1" s="1" t="s">
        <v>20</v>
      </c>
      <c r="C1" s="1" t="s">
        <v>21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27</v>
      </c>
      <c r="C2" t="s">
        <v>22</v>
      </c>
      <c r="D2">
        <v>0.74223140495867768</v>
      </c>
      <c r="E2">
        <v>0.55245147757471058</v>
      </c>
      <c r="F2">
        <v>0.78161094505645301</v>
      </c>
    </row>
    <row r="3" spans="1:6" x14ac:dyDescent="0.3">
      <c r="A3" t="s">
        <v>7</v>
      </c>
      <c r="B3">
        <v>28</v>
      </c>
      <c r="C3" t="s">
        <v>22</v>
      </c>
      <c r="D3">
        <v>0.74717630853994488</v>
      </c>
      <c r="E3">
        <v>0.54385572640465063</v>
      </c>
      <c r="F3">
        <v>0.77552337374813451</v>
      </c>
    </row>
    <row r="4" spans="1:6" x14ac:dyDescent="0.3">
      <c r="A4" t="s">
        <v>8</v>
      </c>
      <c r="B4">
        <v>19</v>
      </c>
      <c r="C4" t="s">
        <v>23</v>
      </c>
      <c r="D4">
        <v>0.75048209366391183</v>
      </c>
      <c r="E4">
        <v>0.57632411067193678</v>
      </c>
      <c r="F4">
        <v>0.76944857225036289</v>
      </c>
    </row>
    <row r="5" spans="1:6" x14ac:dyDescent="0.3">
      <c r="A5" t="s">
        <v>9</v>
      </c>
      <c r="B5">
        <v>5</v>
      </c>
      <c r="C5" t="s">
        <v>22</v>
      </c>
      <c r="D5">
        <v>0.72387052341597791</v>
      </c>
      <c r="E5">
        <v>0.58304631058968825</v>
      </c>
      <c r="F5">
        <v>0.75199034696564782</v>
      </c>
    </row>
    <row r="6" spans="1:6" x14ac:dyDescent="0.3">
      <c r="A6" t="s">
        <v>10</v>
      </c>
      <c r="B6">
        <v>7</v>
      </c>
      <c r="C6" t="s">
        <v>22</v>
      </c>
      <c r="D6">
        <v>0.71885674931129484</v>
      </c>
      <c r="E6">
        <v>0.54282565831533192</v>
      </c>
      <c r="F6">
        <v>0.74785764987987891</v>
      </c>
    </row>
    <row r="7" spans="1:6" x14ac:dyDescent="0.3">
      <c r="A7" t="s">
        <v>11</v>
      </c>
      <c r="B7">
        <v>1</v>
      </c>
      <c r="C7" t="s">
        <v>22</v>
      </c>
      <c r="D7">
        <v>0.62068870523415975</v>
      </c>
      <c r="E7">
        <v>0.46473857011218728</v>
      </c>
      <c r="F7">
        <v>0.58648352779257384</v>
      </c>
    </row>
    <row r="8" spans="1:6" x14ac:dyDescent="0.3">
      <c r="A8" t="s">
        <v>12</v>
      </c>
      <c r="B8">
        <v>13</v>
      </c>
      <c r="C8" t="s">
        <v>23</v>
      </c>
      <c r="D8">
        <v>0.75553719008264464</v>
      </c>
      <c r="E8">
        <v>0.61990871377319623</v>
      </c>
      <c r="F8">
        <v>0.80486364858084536</v>
      </c>
    </row>
    <row r="9" spans="1:6" x14ac:dyDescent="0.3">
      <c r="A9" t="s">
        <v>13</v>
      </c>
      <c r="B9">
        <v>17</v>
      </c>
      <c r="C9" t="s">
        <v>22</v>
      </c>
      <c r="D9">
        <v>0.74219008264462816</v>
      </c>
      <c r="E9">
        <v>0.56160695468914645</v>
      </c>
      <c r="F9">
        <v>0.77455504514010221</v>
      </c>
    </row>
    <row r="10" spans="1:6" x14ac:dyDescent="0.3">
      <c r="A10" t="s">
        <v>14</v>
      </c>
      <c r="B10">
        <v>17</v>
      </c>
      <c r="C10" t="s">
        <v>22</v>
      </c>
      <c r="D10">
        <v>0.74389807162534427</v>
      </c>
      <c r="E10">
        <v>0.57900869032041613</v>
      </c>
      <c r="F10">
        <v>0.78810252301298911</v>
      </c>
    </row>
    <row r="11" spans="1:6" x14ac:dyDescent="0.3">
      <c r="A11" t="s">
        <v>15</v>
      </c>
      <c r="B11">
        <v>3</v>
      </c>
      <c r="C11" t="s">
        <v>23</v>
      </c>
      <c r="D11">
        <v>0.72549586776859498</v>
      </c>
      <c r="E11">
        <v>0.57882668858278608</v>
      </c>
      <c r="F11">
        <v>0.71961234624865378</v>
      </c>
    </row>
    <row r="12" spans="1:6" x14ac:dyDescent="0.3">
      <c r="A12" t="s">
        <v>16</v>
      </c>
      <c r="B12">
        <v>3</v>
      </c>
      <c r="C12" t="s">
        <v>23</v>
      </c>
      <c r="D12">
        <v>0.71393939393939398</v>
      </c>
      <c r="E12">
        <v>0.57011340329538251</v>
      </c>
      <c r="F12">
        <v>0.72986576902909106</v>
      </c>
    </row>
    <row r="13" spans="1:6" x14ac:dyDescent="0.3">
      <c r="A13" t="s">
        <v>17</v>
      </c>
      <c r="B13">
        <v>7</v>
      </c>
      <c r="C13" t="s">
        <v>23</v>
      </c>
      <c r="D13">
        <v>0.73221763085399449</v>
      </c>
      <c r="E13">
        <v>0.57585128005876607</v>
      </c>
      <c r="F13">
        <v>0.76332500986715246</v>
      </c>
    </row>
    <row r="14" spans="1:6" x14ac:dyDescent="0.3">
      <c r="A14" t="s">
        <v>18</v>
      </c>
      <c r="B14">
        <v>19</v>
      </c>
      <c r="C14" t="s">
        <v>23</v>
      </c>
      <c r="D14">
        <v>0.73553719008264462</v>
      </c>
      <c r="E14">
        <v>0.55025116097195637</v>
      </c>
      <c r="F14">
        <v>0.7731723526721983</v>
      </c>
    </row>
    <row r="15" spans="1:6" x14ac:dyDescent="0.3">
      <c r="A15" t="s">
        <v>19</v>
      </c>
      <c r="B15">
        <v>9</v>
      </c>
      <c r="C15" t="s">
        <v>22</v>
      </c>
      <c r="D15">
        <v>0.71725895316804411</v>
      </c>
      <c r="E15">
        <v>0.55966694807777828</v>
      </c>
      <c r="F15">
        <v>0.75654135665713318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F15"/>
    </sheetView>
  </sheetViews>
  <sheetFormatPr defaultRowHeight="14.4" x14ac:dyDescent="0.3"/>
  <sheetData>
    <row r="1" spans="1:6" x14ac:dyDescent="0.3">
      <c r="A1" s="1" t="s">
        <v>0</v>
      </c>
      <c r="B1" s="1" t="s">
        <v>24</v>
      </c>
      <c r="C1" s="1" t="s">
        <v>25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500</v>
      </c>
      <c r="C2">
        <v>32</v>
      </c>
      <c r="D2">
        <v>0.74721763085399451</v>
      </c>
      <c r="E2">
        <v>0.57301544526785941</v>
      </c>
      <c r="F2">
        <v>0.8066076088845463</v>
      </c>
    </row>
    <row r="3" spans="1:6" x14ac:dyDescent="0.3">
      <c r="A3" t="s">
        <v>7</v>
      </c>
      <c r="B3">
        <v>1000</v>
      </c>
      <c r="C3">
        <v>45</v>
      </c>
      <c r="D3">
        <v>0.74888429752066121</v>
      </c>
      <c r="E3">
        <v>0.57807836120605127</v>
      </c>
      <c r="F3">
        <v>0.7913462716488342</v>
      </c>
    </row>
    <row r="4" spans="1:6" x14ac:dyDescent="0.3">
      <c r="A4" t="s">
        <v>8</v>
      </c>
      <c r="B4">
        <v>100</v>
      </c>
      <c r="C4">
        <v>37</v>
      </c>
      <c r="D4">
        <v>0.74389807162534427</v>
      </c>
      <c r="E4">
        <v>0.56668461907617151</v>
      </c>
      <c r="F4">
        <v>0.78754906717240769</v>
      </c>
    </row>
    <row r="5" spans="1:6" x14ac:dyDescent="0.3">
      <c r="A5" t="s">
        <v>9</v>
      </c>
      <c r="B5">
        <v>100</v>
      </c>
      <c r="C5">
        <v>25</v>
      </c>
      <c r="D5">
        <v>0.74389807162534427</v>
      </c>
      <c r="E5">
        <v>0.56510812166726132</v>
      </c>
      <c r="F5">
        <v>0.78984453250430398</v>
      </c>
    </row>
    <row r="6" spans="1:6" x14ac:dyDescent="0.3">
      <c r="A6" t="s">
        <v>10</v>
      </c>
      <c r="B6">
        <v>500</v>
      </c>
      <c r="C6">
        <v>2</v>
      </c>
      <c r="D6">
        <v>0.74556473829201109</v>
      </c>
      <c r="E6">
        <v>0.57188588027803711</v>
      </c>
      <c r="F6">
        <v>0.78840684974522579</v>
      </c>
    </row>
    <row r="7" spans="1:6" x14ac:dyDescent="0.3">
      <c r="A7" t="s">
        <v>11</v>
      </c>
      <c r="B7">
        <v>100</v>
      </c>
      <c r="C7">
        <v>10</v>
      </c>
      <c r="D7">
        <v>0.67563360881542711</v>
      </c>
      <c r="E7">
        <v>0.33220999206480151</v>
      </c>
      <c r="F7">
        <v>0.69545119557469048</v>
      </c>
    </row>
    <row r="8" spans="1:6" x14ac:dyDescent="0.3">
      <c r="A8" t="s">
        <v>12</v>
      </c>
      <c r="B8">
        <v>50</v>
      </c>
      <c r="C8">
        <v>49</v>
      </c>
      <c r="D8">
        <v>0.74053719008264463</v>
      </c>
      <c r="E8">
        <v>0.56533911957074301</v>
      </c>
      <c r="F8">
        <v>0.80678284272757883</v>
      </c>
    </row>
    <row r="9" spans="1:6" x14ac:dyDescent="0.3">
      <c r="A9" t="s">
        <v>13</v>
      </c>
      <c r="B9">
        <v>50</v>
      </c>
      <c r="C9">
        <v>14</v>
      </c>
      <c r="D9">
        <v>0.75719008264462817</v>
      </c>
      <c r="E9">
        <v>0.5956683276510184</v>
      </c>
      <c r="F9">
        <v>0.80311768091947167</v>
      </c>
    </row>
    <row r="10" spans="1:6" x14ac:dyDescent="0.3">
      <c r="A10" t="s">
        <v>14</v>
      </c>
      <c r="B10">
        <v>1000</v>
      </c>
      <c r="C10">
        <v>9</v>
      </c>
      <c r="D10">
        <v>0.74887052341597793</v>
      </c>
      <c r="E10">
        <v>0.58710400212298219</v>
      </c>
      <c r="F10">
        <v>0.80699206971204496</v>
      </c>
    </row>
    <row r="11" spans="1:6" x14ac:dyDescent="0.3">
      <c r="A11" t="s">
        <v>15</v>
      </c>
      <c r="B11">
        <v>1000</v>
      </c>
      <c r="C11">
        <v>29</v>
      </c>
      <c r="D11">
        <v>0.74720385674931133</v>
      </c>
      <c r="E11">
        <v>0.57502900812649271</v>
      </c>
      <c r="F11">
        <v>0.80348383049834116</v>
      </c>
    </row>
    <row r="12" spans="1:6" x14ac:dyDescent="0.3">
      <c r="A12" t="s">
        <v>16</v>
      </c>
      <c r="B12">
        <v>100</v>
      </c>
      <c r="C12">
        <v>9</v>
      </c>
      <c r="D12">
        <v>0.74392561983471084</v>
      </c>
      <c r="E12">
        <v>0.56687947917970738</v>
      </c>
      <c r="F12">
        <v>0.78503355585788437</v>
      </c>
    </row>
    <row r="13" spans="1:6" x14ac:dyDescent="0.3">
      <c r="A13" t="s">
        <v>17</v>
      </c>
      <c r="B13">
        <v>1000</v>
      </c>
      <c r="C13">
        <v>35</v>
      </c>
      <c r="D13">
        <v>0.76052341597796136</v>
      </c>
      <c r="E13">
        <v>0.60325722566480111</v>
      </c>
      <c r="F13">
        <v>0.81204009362391594</v>
      </c>
    </row>
    <row r="14" spans="1:6" x14ac:dyDescent="0.3">
      <c r="A14" t="s">
        <v>18</v>
      </c>
      <c r="B14">
        <v>100</v>
      </c>
      <c r="C14">
        <v>46</v>
      </c>
      <c r="D14">
        <v>0.75052341597796146</v>
      </c>
      <c r="E14">
        <v>0.57843228905620858</v>
      </c>
      <c r="F14">
        <v>0.79888632173287921</v>
      </c>
    </row>
    <row r="15" spans="1:6" x14ac:dyDescent="0.3">
      <c r="A15" t="s">
        <v>19</v>
      </c>
      <c r="B15">
        <v>50</v>
      </c>
      <c r="C15">
        <v>15</v>
      </c>
      <c r="D15">
        <v>0.75221763085399451</v>
      </c>
      <c r="E15">
        <v>0.59801752888880311</v>
      </c>
      <c r="F15">
        <v>0.80572807522483347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LogisticRegression</vt:lpstr>
      <vt:lpstr>KNeighborsClassifier</vt:lpstr>
      <vt:lpstr>RidgeClassifier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Tsvetkov</dc:creator>
  <cp:lastModifiedBy>user</cp:lastModifiedBy>
  <dcterms:created xsi:type="dcterms:W3CDTF">2015-06-05T18:17:20Z</dcterms:created>
  <dcterms:modified xsi:type="dcterms:W3CDTF">2025-11-13T16:02:56Z</dcterms:modified>
</cp:coreProperties>
</file>