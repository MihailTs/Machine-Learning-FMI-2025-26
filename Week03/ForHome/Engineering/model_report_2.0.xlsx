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4" i="1"/>
</calcChain>
</file>

<file path=xl/sharedStrings.xml><?xml version="1.0" encoding="utf-8"?>
<sst xmlns="http://schemas.openxmlformats.org/spreadsheetml/2006/main" count="57" uniqueCount="40">
  <si>
    <t>Baseline model</t>
  </si>
  <si>
    <t>mse: 8253483945,741</t>
  </si>
  <si>
    <t>rmse: 91397,395</t>
  </si>
  <si>
    <r>
      <t>R</t>
    </r>
    <r>
      <rPr>
        <vertAlign val="superscript"/>
        <sz val="11"/>
        <color theme="1" tint="4.9989318521683403E-2"/>
        <rFont val="Calibri"/>
        <family val="2"/>
        <charset val="204"/>
        <scheme val="minor"/>
      </rPr>
      <t xml:space="preserve">2 </t>
    </r>
    <r>
      <rPr>
        <sz val="11"/>
        <color theme="1" tint="4.9989318521683403E-2"/>
        <rFont val="Calibri"/>
        <family val="2"/>
        <charset val="204"/>
        <scheme val="minor"/>
      </rPr>
      <t>: -6,211925</t>
    </r>
  </si>
  <si>
    <r>
      <t>R</t>
    </r>
    <r>
      <rPr>
        <vertAlign val="superscript"/>
        <sz val="11"/>
        <color theme="1" tint="4.9989318521683403E-2"/>
        <rFont val="Calibri"/>
        <family val="2"/>
        <charset val="204"/>
        <scheme val="minor"/>
      </rPr>
      <t>2</t>
    </r>
    <r>
      <rPr>
        <vertAlign val="subscript"/>
        <sz val="11"/>
        <color theme="1" tint="4.9989318521683403E-2"/>
        <rFont val="Calibri"/>
        <family val="2"/>
        <charset val="204"/>
        <scheme val="minor"/>
      </rPr>
      <t>adj</t>
    </r>
    <r>
      <rPr>
        <vertAlign val="superscript"/>
        <sz val="11"/>
        <color theme="1" tint="4.9989318521683403E-2"/>
        <rFont val="Calibri"/>
        <family val="2"/>
        <charset val="204"/>
        <scheme val="minor"/>
      </rPr>
      <t xml:space="preserve"> </t>
    </r>
    <r>
      <rPr>
        <sz val="11"/>
        <color theme="1" tint="4.9989318521683403E-2"/>
        <rFont val="Calibri"/>
        <family val="2"/>
        <charset val="204"/>
        <scheme val="minor"/>
      </rPr>
      <t>: -6,2532008</t>
    </r>
  </si>
  <si>
    <t>experiment</t>
  </si>
  <si>
    <t>features</t>
  </si>
  <si>
    <t>test set %</t>
  </si>
  <si>
    <t>mse</t>
  </si>
  <si>
    <t>rmse</t>
  </si>
  <si>
    <r>
      <t>R</t>
    </r>
    <r>
      <rPr>
        <vertAlign val="superscript"/>
        <sz val="11"/>
        <color theme="1"/>
        <rFont val="Calibri"/>
        <family val="2"/>
        <charset val="204"/>
        <scheme val="minor"/>
      </rPr>
      <t>2</t>
    </r>
  </si>
  <si>
    <r>
      <t>R</t>
    </r>
    <r>
      <rPr>
        <vertAlign val="superscript"/>
        <sz val="11"/>
        <color theme="1"/>
        <rFont val="Calibri"/>
        <family val="2"/>
        <charset val="204"/>
        <scheme val="minor"/>
      </rPr>
      <t>2</t>
    </r>
    <r>
      <rPr>
        <vertAlign val="subscript"/>
        <sz val="11"/>
        <color theme="1"/>
        <rFont val="Calibri"/>
        <family val="2"/>
        <charset val="204"/>
        <scheme val="minor"/>
      </rPr>
      <t>adj</t>
    </r>
  </si>
  <si>
    <t>comments</t>
  </si>
  <si>
    <t>tv</t>
  </si>
  <si>
    <t>good</t>
  </si>
  <si>
    <t>radio</t>
  </si>
  <si>
    <t>not good</t>
  </si>
  <si>
    <t>social_media</t>
  </si>
  <si>
    <t>bad</t>
  </si>
  <si>
    <t>influencer_Mega</t>
  </si>
  <si>
    <t>bad - very bad predictor</t>
  </si>
  <si>
    <t>influencer_Micro</t>
  </si>
  <si>
    <t>influencer_Nano</t>
  </si>
  <si>
    <t>tv, influencer_Mega</t>
  </si>
  <si>
    <t>good - tv combined with something else may be a good predictor</t>
  </si>
  <si>
    <t>tv, influencer_Micro</t>
  </si>
  <si>
    <t>tv, influencer_Nano</t>
  </si>
  <si>
    <t>radio, influencer_Mega</t>
  </si>
  <si>
    <t>radio, influencer_Micro</t>
  </si>
  <si>
    <t>radio, influencer_Nano</t>
  </si>
  <si>
    <t>bad - radio is not a good predictor</t>
  </si>
  <si>
    <t>social_media, influencer_Mega</t>
  </si>
  <si>
    <t>social_media, influencer_Micro</t>
  </si>
  <si>
    <t>social_media, influencer_Nano</t>
  </si>
  <si>
    <t>bad - social_media is not a good predictor</t>
  </si>
  <si>
    <t>tv, radio, social_media, influencer_Mega,influencer_Micro, influencer_Nano</t>
  </si>
  <si>
    <t>tv, radio, social_media</t>
  </si>
  <si>
    <t>tv, radio, socia, influencer_Mega</t>
  </si>
  <si>
    <t>tv, radio, socia, influencer_Micro</t>
  </si>
  <si>
    <t>tv, social_media, influencer_Mega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</si>
</sst>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vertAlign val="superscript"/>
      <sz val="11"/>
      <color theme="1" tint="4.9989318521683403E-2"/>
      <name val="Calibri"/>
      <family val="2"/>
      <charset val="204"/>
      <scheme val="minor"/>
    </font>
    <font>
      <sz val="11"/>
      <color theme="1" tint="4.9989318521683403E-2"/>
      <name val="Calibri"/>
      <family val="2"/>
      <charset val="204"/>
      <scheme val="minor"/>
    </font>
    <font>
      <vertAlign val="subscript"/>
      <sz val="11"/>
      <color theme="1" tint="4.9989318521683403E-2"/>
      <name val="Calibri"/>
      <family val="2"/>
      <charset val="204"/>
      <scheme val="minor"/>
    </font>
    <font>
      <vertAlign val="superscript"/>
      <sz val="11"/>
      <color theme="1"/>
      <name val="Calibri"/>
      <family val="2"/>
      <charset val="204"/>
      <scheme val="minor"/>
    </font>
    <font>
      <vertAlign val="subscript"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vertical="center"/>
    </xf>
    <xf numFmtId="2" fontId="3" fillId="2" borderId="3" xfId="1" applyNumberFormat="1" applyFont="1" applyFill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3" borderId="3" xfId="0" applyFill="1" applyBorder="1" applyAlignment="1">
      <alignment horizontal="center" vertical="center"/>
    </xf>
    <xf numFmtId="0" fontId="0" fillId="3" borderId="3" xfId="0" applyFill="1" applyBorder="1" applyAlignment="1">
      <alignment vertical="center"/>
    </xf>
    <xf numFmtId="164" fontId="0" fillId="3" borderId="3" xfId="0" applyNumberFormat="1" applyFill="1" applyBorder="1" applyAlignment="1">
      <alignment vertical="center"/>
    </xf>
    <xf numFmtId="0" fontId="0" fillId="0" borderId="3" xfId="0" applyBorder="1" applyAlignment="1">
      <alignment horizontal="center" vertical="center"/>
    </xf>
    <xf numFmtId="164" fontId="0" fillId="0" borderId="3" xfId="0" applyNumberFormat="1" applyBorder="1" applyAlignment="1">
      <alignment vertical="center"/>
    </xf>
    <xf numFmtId="0" fontId="0" fillId="0" borderId="3" xfId="0" applyFill="1" applyBorder="1" applyAlignment="1">
      <alignment horizontal="center" vertical="center"/>
    </xf>
    <xf numFmtId="0" fontId="0" fillId="0" borderId="3" xfId="0" quotePrefix="1" applyBorder="1" applyAlignment="1">
      <alignment vertical="center" wrapText="1"/>
    </xf>
    <xf numFmtId="165" fontId="0" fillId="0" borderId="3" xfId="0" applyNumberFormat="1" applyBorder="1" applyAlignment="1">
      <alignment vertical="center"/>
    </xf>
    <xf numFmtId="165" fontId="0" fillId="3" borderId="3" xfId="0" applyNumberFormat="1" applyFill="1" applyBorder="1" applyAlignment="1">
      <alignment vertical="center"/>
    </xf>
    <xf numFmtId="164" fontId="1" fillId="0" borderId="0" xfId="0" applyNumberFormat="1" applyFont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27</xdr:row>
      <xdr:rowOff>23446</xdr:rowOff>
    </xdr:from>
    <xdr:to>
      <xdr:col>5</xdr:col>
      <xdr:colOff>597056</xdr:colOff>
      <xdr:row>50</xdr:row>
      <xdr:rowOff>66825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404338"/>
          <a:ext cx="7267487" cy="4357472"/>
        </a:xfrm>
        <a:prstGeom prst="rect">
          <a:avLst/>
        </a:prstGeom>
      </xdr:spPr>
    </xdr:pic>
    <xdr:clientData/>
  </xdr:twoCellAnchor>
  <xdr:twoCellAnchor editAs="oneCell">
    <xdr:from>
      <xdr:col>6</xdr:col>
      <xdr:colOff>323850</xdr:colOff>
      <xdr:row>28</xdr:row>
      <xdr:rowOff>38100</xdr:rowOff>
    </xdr:from>
    <xdr:to>
      <xdr:col>17</xdr:col>
      <xdr:colOff>157411</xdr:colOff>
      <xdr:row>51</xdr:row>
      <xdr:rowOff>20390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67650" y="5676900"/>
          <a:ext cx="7186861" cy="43637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tabSelected="1" topLeftCell="C6" zoomScale="110" workbookViewId="0">
      <selection activeCell="G22" sqref="G22"/>
    </sheetView>
  </sheetViews>
  <sheetFormatPr defaultRowHeight="14.4" x14ac:dyDescent="0.3"/>
  <cols>
    <col min="1" max="1" width="9.5546875" customWidth="1"/>
    <col min="2" max="2" width="44.5546875" customWidth="1"/>
    <col min="4" max="4" width="19.5546875" customWidth="1"/>
    <col min="5" max="5" width="14.6640625" customWidth="1"/>
    <col min="6" max="6" width="13" customWidth="1"/>
    <col min="7" max="7" width="11.109375" customWidth="1"/>
    <col min="8" max="8" width="16.109375" customWidth="1"/>
  </cols>
  <sheetData>
    <row r="1" spans="1:8" ht="16.2" x14ac:dyDescent="0.3">
      <c r="A1" s="1" t="s">
        <v>0</v>
      </c>
      <c r="B1" s="2"/>
      <c r="C1" s="3"/>
      <c r="D1" s="4" t="s">
        <v>1</v>
      </c>
      <c r="E1" s="5" t="s">
        <v>2</v>
      </c>
      <c r="F1" s="5" t="s">
        <v>3</v>
      </c>
      <c r="G1" s="4" t="s">
        <v>4</v>
      </c>
      <c r="H1" s="4"/>
    </row>
    <row r="2" spans="1:8" ht="16.2" x14ac:dyDescent="0.3">
      <c r="A2" s="6" t="s">
        <v>5</v>
      </c>
      <c r="B2" s="6" t="s">
        <v>6</v>
      </c>
      <c r="C2" s="6" t="s">
        <v>7</v>
      </c>
      <c r="D2" s="6" t="s">
        <v>8</v>
      </c>
      <c r="E2" s="7" t="s">
        <v>9</v>
      </c>
      <c r="F2" s="7" t="s">
        <v>10</v>
      </c>
      <c r="G2" s="7" t="s">
        <v>11</v>
      </c>
      <c r="H2" s="6" t="s">
        <v>12</v>
      </c>
    </row>
    <row r="3" spans="1:8" x14ac:dyDescent="0.3">
      <c r="A3" s="8">
        <v>1</v>
      </c>
      <c r="B3" s="9" t="s">
        <v>13</v>
      </c>
      <c r="C3" s="9">
        <v>20</v>
      </c>
      <c r="D3" s="10">
        <v>8558622.2369999997</v>
      </c>
      <c r="E3" s="10">
        <v>2925.5120000000002</v>
      </c>
      <c r="F3" s="16">
        <v>0.99897499999999995</v>
      </c>
      <c r="G3" s="16">
        <v>0.99897400000000003</v>
      </c>
      <c r="H3" s="9" t="s">
        <v>14</v>
      </c>
    </row>
    <row r="4" spans="1:8" x14ac:dyDescent="0.3">
      <c r="A4" s="11">
        <v>2</v>
      </c>
      <c r="B4" s="6" t="s">
        <v>15</v>
      </c>
      <c r="C4" s="6">
        <v>20</v>
      </c>
      <c r="D4" s="12">
        <v>2110059737.046</v>
      </c>
      <c r="E4" s="12">
        <f>SQRT(D4)</f>
        <v>45935.38654508091</v>
      </c>
      <c r="F4" s="15">
        <v>0.74740300000000004</v>
      </c>
      <c r="G4" s="15">
        <v>0.74712500000000004</v>
      </c>
      <c r="H4" s="6" t="s">
        <v>16</v>
      </c>
    </row>
    <row r="5" spans="1:8" x14ac:dyDescent="0.3">
      <c r="A5" s="11">
        <v>3</v>
      </c>
      <c r="B5" s="6" t="s">
        <v>17</v>
      </c>
      <c r="C5" s="6">
        <v>20</v>
      </c>
      <c r="D5" s="12">
        <v>6205036044.6599998</v>
      </c>
      <c r="E5" s="12">
        <f t="shared" ref="E5:E24" si="0">SQRT(D5)</f>
        <v>78772.051164483462</v>
      </c>
      <c r="F5" s="15">
        <v>0.257191</v>
      </c>
      <c r="G5" s="15">
        <v>0.25637300000000002</v>
      </c>
      <c r="H5" s="6" t="s">
        <v>18</v>
      </c>
    </row>
    <row r="6" spans="1:8" x14ac:dyDescent="0.3">
      <c r="A6" s="11">
        <v>4</v>
      </c>
      <c r="B6" s="6" t="s">
        <v>19</v>
      </c>
      <c r="C6" s="6">
        <v>20</v>
      </c>
      <c r="D6" s="17">
        <v>8349761641.6239996</v>
      </c>
      <c r="E6" s="12">
        <f t="shared" si="0"/>
        <v>91377.030164172</v>
      </c>
      <c r="F6" s="15">
        <v>4.4499999999999997E-4</v>
      </c>
      <c r="G6" s="15">
        <v>-6.5499999999999998E-4</v>
      </c>
      <c r="H6" s="6" t="s">
        <v>20</v>
      </c>
    </row>
    <row r="7" spans="1:8" x14ac:dyDescent="0.3">
      <c r="A7" s="11">
        <v>5</v>
      </c>
      <c r="B7" s="6" t="s">
        <v>21</v>
      </c>
      <c r="C7" s="6">
        <v>20</v>
      </c>
      <c r="D7" s="12">
        <v>8352830977.5450001</v>
      </c>
      <c r="E7" s="12">
        <f t="shared" si="0"/>
        <v>91393.823519672267</v>
      </c>
      <c r="F7" s="15">
        <v>6.9999999999999999E-6</v>
      </c>
      <c r="G7" s="15">
        <v>-1.023E-3</v>
      </c>
      <c r="H7" s="6" t="s">
        <v>20</v>
      </c>
    </row>
    <row r="8" spans="1:8" x14ac:dyDescent="0.3">
      <c r="A8" s="11">
        <v>6</v>
      </c>
      <c r="B8" s="6" t="s">
        <v>22</v>
      </c>
      <c r="C8" s="6">
        <v>20</v>
      </c>
      <c r="D8" s="12">
        <v>8353290598.1280003</v>
      </c>
      <c r="E8" s="12">
        <f t="shared" si="0"/>
        <v>91396.337990796979</v>
      </c>
      <c r="F8" s="15">
        <v>1.9999999999999999E-6</v>
      </c>
      <c r="G8" s="15">
        <v>-1.078E-3</v>
      </c>
      <c r="H8" s="6" t="s">
        <v>20</v>
      </c>
    </row>
    <row r="9" spans="1:8" x14ac:dyDescent="0.3">
      <c r="A9" s="11">
        <v>8</v>
      </c>
      <c r="B9" s="6" t="s">
        <v>23</v>
      </c>
      <c r="C9" s="6">
        <v>30</v>
      </c>
      <c r="D9" s="12">
        <v>8593426.1520000007</v>
      </c>
      <c r="E9" s="12">
        <f t="shared" si="0"/>
        <v>2931.4546136687841</v>
      </c>
      <c r="F9" s="15">
        <v>0.99897199999999997</v>
      </c>
      <c r="G9" s="15">
        <v>0.99897000000000002</v>
      </c>
      <c r="H9" s="6" t="s">
        <v>24</v>
      </c>
    </row>
    <row r="10" spans="1:8" x14ac:dyDescent="0.3">
      <c r="A10" s="11">
        <v>9</v>
      </c>
      <c r="B10" s="6" t="s">
        <v>25</v>
      </c>
      <c r="C10" s="6">
        <v>30</v>
      </c>
      <c r="D10" s="12">
        <v>589970.52399999998</v>
      </c>
      <c r="E10" s="12">
        <f t="shared" si="0"/>
        <v>768.09538730550912</v>
      </c>
      <c r="F10" s="15">
        <v>0.99897199999999997</v>
      </c>
      <c r="G10" s="15">
        <v>0.99897100000000005</v>
      </c>
      <c r="H10" s="6" t="s">
        <v>14</v>
      </c>
    </row>
    <row r="11" spans="1:8" x14ac:dyDescent="0.3">
      <c r="A11" s="11">
        <v>10</v>
      </c>
      <c r="B11" s="6" t="s">
        <v>26</v>
      </c>
      <c r="C11" s="6">
        <v>30</v>
      </c>
      <c r="D11" s="12">
        <v>8593276.1280000005</v>
      </c>
      <c r="E11" s="12">
        <f t="shared" si="0"/>
        <v>2931.4290248955372</v>
      </c>
      <c r="F11" s="15">
        <v>0.99897199999999997</v>
      </c>
      <c r="G11" s="15">
        <v>0.99897000000000002</v>
      </c>
      <c r="H11" s="6" t="s">
        <v>14</v>
      </c>
    </row>
    <row r="12" spans="1:8" x14ac:dyDescent="0.3">
      <c r="A12" s="11">
        <v>11</v>
      </c>
      <c r="B12" s="6" t="s">
        <v>27</v>
      </c>
      <c r="C12" s="6">
        <v>30</v>
      </c>
      <c r="D12" s="12">
        <v>2269122086.5219998</v>
      </c>
      <c r="E12" s="12">
        <f t="shared" si="0"/>
        <v>47635.302943531278</v>
      </c>
      <c r="F12" s="15">
        <v>0.72862800000000005</v>
      </c>
      <c r="G12" s="15">
        <v>0.72822900000000002</v>
      </c>
      <c r="H12" s="6" t="s">
        <v>18</v>
      </c>
    </row>
    <row r="13" spans="1:8" x14ac:dyDescent="0.3">
      <c r="A13" s="11">
        <v>12</v>
      </c>
      <c r="B13" s="6" t="s">
        <v>28</v>
      </c>
      <c r="C13" s="6">
        <v>30</v>
      </c>
      <c r="D13" s="12">
        <v>2270844610.2779999</v>
      </c>
      <c r="E13" s="12">
        <f t="shared" si="0"/>
        <v>47653.379841077382</v>
      </c>
      <c r="F13" s="15">
        <v>0.72842200000000001</v>
      </c>
      <c r="G13" s="15">
        <v>0.72802299999999998</v>
      </c>
      <c r="H13" s="6" t="s">
        <v>18</v>
      </c>
    </row>
    <row r="14" spans="1:8" x14ac:dyDescent="0.3">
      <c r="A14" s="11">
        <v>13</v>
      </c>
      <c r="B14" s="6" t="s">
        <v>29</v>
      </c>
      <c r="C14" s="6">
        <v>30</v>
      </c>
      <c r="D14" s="12">
        <v>2267679363.9860001</v>
      </c>
      <c r="E14" s="12">
        <f t="shared" si="0"/>
        <v>47620.157118451425</v>
      </c>
      <c r="F14" s="15">
        <v>0.72880100000000003</v>
      </c>
      <c r="G14" s="15">
        <v>0.72840199999999999</v>
      </c>
      <c r="H14" s="6" t="s">
        <v>30</v>
      </c>
    </row>
    <row r="15" spans="1:8" x14ac:dyDescent="0.3">
      <c r="A15" s="11">
        <v>14</v>
      </c>
      <c r="B15" s="6" t="s">
        <v>31</v>
      </c>
      <c r="C15" s="6">
        <v>30</v>
      </c>
      <c r="D15" s="17">
        <v>6298017879.2460003</v>
      </c>
      <c r="E15" s="12">
        <f t="shared" si="0"/>
        <v>79360.052162571068</v>
      </c>
      <c r="F15" s="15">
        <v>0.24679999999999999</v>
      </c>
      <c r="G15" s="15">
        <v>0.245694</v>
      </c>
      <c r="H15" s="6" t="s">
        <v>18</v>
      </c>
    </row>
    <row r="16" spans="1:8" x14ac:dyDescent="0.3">
      <c r="A16" s="11">
        <v>15</v>
      </c>
      <c r="B16" s="6" t="s">
        <v>32</v>
      </c>
      <c r="C16" s="6">
        <v>30</v>
      </c>
      <c r="D16" s="12">
        <v>6305056050.7349997</v>
      </c>
      <c r="E16" s="12">
        <f t="shared" si="0"/>
        <v>79404.383070048469</v>
      </c>
      <c r="F16" s="15">
        <v>0.24559590000000001</v>
      </c>
      <c r="G16" s="15">
        <v>0.24485100000000001</v>
      </c>
      <c r="H16" s="6" t="s">
        <v>18</v>
      </c>
    </row>
    <row r="17" spans="1:8" x14ac:dyDescent="0.3">
      <c r="A17" s="11">
        <v>16</v>
      </c>
      <c r="B17" s="6" t="s">
        <v>33</v>
      </c>
      <c r="C17" s="6">
        <v>30</v>
      </c>
      <c r="D17" s="12">
        <v>630427288.00800002</v>
      </c>
      <c r="E17" s="12">
        <f t="shared" si="0"/>
        <v>25108.311134124495</v>
      </c>
      <c r="F17" s="15">
        <v>0.24604999999999999</v>
      </c>
      <c r="G17" s="15">
        <v>0.244944</v>
      </c>
      <c r="H17" s="6" t="s">
        <v>34</v>
      </c>
    </row>
    <row r="18" spans="1:8" x14ac:dyDescent="0.3">
      <c r="A18" s="11">
        <v>17</v>
      </c>
      <c r="B18" s="6" t="s">
        <v>13</v>
      </c>
      <c r="C18" s="6">
        <v>15</v>
      </c>
      <c r="D18" s="12">
        <v>8890001.7420000006</v>
      </c>
      <c r="E18" s="12">
        <f t="shared" si="0"/>
        <v>2981.6105952991247</v>
      </c>
      <c r="F18" s="15">
        <v>0.99892700000000001</v>
      </c>
      <c r="G18" s="15">
        <v>0.99892499999999995</v>
      </c>
      <c r="H18" s="6" t="s">
        <v>14</v>
      </c>
    </row>
    <row r="19" spans="1:8" x14ac:dyDescent="0.3">
      <c r="A19" s="13">
        <v>18</v>
      </c>
      <c r="B19" s="6" t="s">
        <v>13</v>
      </c>
      <c r="C19" s="6">
        <v>10</v>
      </c>
      <c r="D19" s="12">
        <v>8780896.3699999992</v>
      </c>
      <c r="E19" s="12">
        <f t="shared" si="0"/>
        <v>2963.2577292567717</v>
      </c>
      <c r="F19" s="15">
        <v>0.99890100000000004</v>
      </c>
      <c r="G19" s="15">
        <v>0.99889799999999995</v>
      </c>
      <c r="H19" s="6" t="s">
        <v>14</v>
      </c>
    </row>
    <row r="20" spans="1:8" ht="36" customHeight="1" x14ac:dyDescent="0.3">
      <c r="A20" s="11">
        <v>19</v>
      </c>
      <c r="B20" s="14" t="s">
        <v>35</v>
      </c>
      <c r="C20" s="6">
        <v>20</v>
      </c>
      <c r="D20" s="12">
        <v>8607556.818</v>
      </c>
      <c r="E20" s="12">
        <f t="shared" si="0"/>
        <v>2933.8638035873446</v>
      </c>
      <c r="F20" s="15">
        <v>0.998969</v>
      </c>
      <c r="G20" s="15">
        <v>0.99896200000000002</v>
      </c>
      <c r="H20" s="6" t="s">
        <v>14</v>
      </c>
    </row>
    <row r="21" spans="1:8" x14ac:dyDescent="0.3">
      <c r="A21" s="11">
        <v>20</v>
      </c>
      <c r="B21" s="6" t="s">
        <v>36</v>
      </c>
      <c r="C21" s="6">
        <v>20</v>
      </c>
      <c r="D21" s="12">
        <v>8608645.5460000001</v>
      </c>
      <c r="E21" s="12">
        <f t="shared" si="0"/>
        <v>2934.049342802537</v>
      </c>
      <c r="F21" s="15">
        <v>0.998969</v>
      </c>
      <c r="G21" s="15">
        <v>0.99896600000000002</v>
      </c>
      <c r="H21" s="6" t="s">
        <v>14</v>
      </c>
    </row>
    <row r="22" spans="1:8" x14ac:dyDescent="0.3">
      <c r="A22" s="11">
        <v>21</v>
      </c>
      <c r="B22" s="6" t="s">
        <v>37</v>
      </c>
      <c r="C22" s="6">
        <v>20</v>
      </c>
      <c r="D22" s="12">
        <v>8609163.6490000002</v>
      </c>
      <c r="E22" s="12">
        <f t="shared" si="0"/>
        <v>2934.1376329340792</v>
      </c>
      <c r="F22" s="15">
        <v>0.998969</v>
      </c>
      <c r="G22" s="15">
        <v>0.99896399999999996</v>
      </c>
      <c r="H22" s="6" t="s">
        <v>14</v>
      </c>
    </row>
    <row r="23" spans="1:8" x14ac:dyDescent="0.3">
      <c r="A23" s="11">
        <v>22</v>
      </c>
      <c r="B23" s="6" t="s">
        <v>38</v>
      </c>
      <c r="C23" s="6">
        <v>20</v>
      </c>
      <c r="D23" s="12">
        <v>8607967.0020000003</v>
      </c>
      <c r="E23" s="12">
        <f t="shared" si="0"/>
        <v>2933.933707840039</v>
      </c>
      <c r="F23" s="15">
        <v>0.998969</v>
      </c>
      <c r="G23" s="15">
        <v>0.99896399999999996</v>
      </c>
      <c r="H23" s="6" t="s">
        <v>14</v>
      </c>
    </row>
    <row r="24" spans="1:8" x14ac:dyDescent="0.3">
      <c r="A24" s="13">
        <v>23</v>
      </c>
      <c r="B24" s="6" t="s">
        <v>39</v>
      </c>
      <c r="C24" s="6">
        <v>20</v>
      </c>
      <c r="D24" s="12">
        <v>8603139.6830000002</v>
      </c>
      <c r="E24" s="12">
        <f t="shared" si="0"/>
        <v>2933.110922382582</v>
      </c>
      <c r="F24" s="15">
        <v>0.99897000000000002</v>
      </c>
      <c r="G24" s="15">
        <v>0.99896600000000002</v>
      </c>
      <c r="H24" s="6" t="s">
        <v>14</v>
      </c>
    </row>
  </sheetData>
  <mergeCells count="1">
    <mergeCell ref="A1:B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2025-11-01T20:42:49Z</dcterms:modified>
</cp:coreProperties>
</file>